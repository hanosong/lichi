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计算器" sheetId="1" r:id="rId1"/>
    <sheet name="营养需求" sheetId="2" r:id="rId2"/>
    <sheet name="宠物情况" sheetId="3" r:id="rId3"/>
  </sheets>
  <definedNames>
    <definedName name="宠物狗">OFFSET(宠物情况!$A$3,0,0,COUNTA(宠物情况!$A$3:$A$1000))</definedName>
    <definedName name="宠物猫">OFFSET(宠物情况!$E$3,0,0,COUNTA(宠物情况!$E$3:$E$1000))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<sst xmlns="http://schemas.openxmlformats.org/spreadsheetml/2006/main" count="486" uniqueCount="303">
  <si>
    <t>CREAMPUFF宠物营养餐（自然食）配比计算器</t>
  </si>
  <si>
    <t>适用情况</t>
  </si>
  <si>
    <t>输入体重（kg）</t>
  </si>
  <si>
    <t>所需喂食量（g/每天）</t>
  </si>
  <si>
    <t>成年犬（正常体型）</t>
  </si>
  <si>
    <t>成年猫（正常活动量）</t>
  </si>
  <si>
    <t>点击上框选择体型、生长阶段（犬）</t>
  </si>
  <si>
    <t>点击上框输入体重</t>
  </si>
  <si>
    <t>点击上框选择体型、生长阶段（猫）</t>
  </si>
  <si>
    <t>点击上框体重</t>
  </si>
  <si>
    <t>食材分类</t>
  </si>
  <si>
    <t>配比</t>
  </si>
  <si>
    <t>食材用量
（g/每天）</t>
  </si>
  <si>
    <t>白肉</t>
  </si>
  <si>
    <t>红肉</t>
  </si>
  <si>
    <t>肌肉组织</t>
  </si>
  <si>
    <t>鱼虾海鲜</t>
  </si>
  <si>
    <t>肝脏</t>
  </si>
  <si>
    <t>其他内脏</t>
  </si>
  <si>
    <t>谷薯果蔬</t>
  </si>
  <si>
    <t>营养补充剂</t>
  </si>
  <si>
    <t>钙粉</t>
  </si>
  <si>
    <t>注：每100g肉类（包含白肉、红肉、肌肉组织、鱼虾海鲜、肝脏、其他内脏）添加钙粉0.6g</t>
  </si>
  <si>
    <t>食材用量配比计算器</t>
  </si>
  <si>
    <t>犬</t>
  </si>
  <si>
    <t>每份餐量/g</t>
  </si>
  <si>
    <t>输入用量（g）</t>
  </si>
  <si>
    <t>猫</t>
  </si>
  <si>
    <t>点击上框
输入用量</t>
  </si>
  <si>
    <t>食材用量（g/每天）</t>
  </si>
  <si>
    <t>/</t>
  </si>
  <si>
    <t>宠物可食用安全食材及功效：</t>
  </si>
  <si>
    <t>鸡肉</t>
  </si>
  <si>
    <t>高蛋白，低脂肪，易消化。</t>
  </si>
  <si>
    <t>鸭肉</t>
  </si>
  <si>
    <t>易消化，凉性食材，具有增强皮肤免疫力，保护心脏的功效，适合夏季及白色毛发宠物食用，清火减淡泪痕。</t>
  </si>
  <si>
    <t>鹅肉</t>
  </si>
  <si>
    <t>含有多种必须氨基酸，能够满足狗狗日常所需，促进新陈代谢和免疫系统的正常运作。</t>
  </si>
  <si>
    <t>火鸡肉</t>
  </si>
  <si>
    <t>含有B族维生素、磷、铁矿物质以及不饱和脂肪酸，对免疫系统、心血管健康都有益。</t>
  </si>
  <si>
    <t>牛肉</t>
  </si>
  <si>
    <t>富含蛋白质和锌、铁、辅酶Q10，可增肌和提高免疫力等。牛里脊、牛上脑、牛腿肉均可食用。</t>
  </si>
  <si>
    <t>羊肉</t>
  </si>
  <si>
    <t>胆固醇含量低，含有丰富蛋白质、维生素A、B、左卡尼汀和铁，可驱寒。</t>
  </si>
  <si>
    <t>猪肉</t>
  </si>
  <si>
    <t>富含丰富的B族维生素，预防贫血，缓解疲劳，增强体质。猪里脊、猪腿肉均可食用。</t>
  </si>
  <si>
    <t>马肉</t>
  </si>
  <si>
    <t>高蛋白，低脂肪，低热量，低胆固醇，致敏率低，老年犬可食用。</t>
  </si>
  <si>
    <t>鹿肉</t>
  </si>
  <si>
    <t>高蛋白，低脂肪，低热量，低胆固醇，铁含量高，预防贫血和高血压。富含铜元素，有助红细胞生成。鹿肩、鹿腿、鹿腩均可食用。</t>
  </si>
  <si>
    <t>鸵鸟肉</t>
  </si>
  <si>
    <t>低敏，低胆固醇，低敏，富含铁元素，补血。</t>
  </si>
  <si>
    <t>兔肉</t>
  </si>
  <si>
    <t>易被消化吸收，适合肠胃及消化能力弱，为所有肉类食材中胆固醇最低，适合肥胖宠物，兔里脊、兔腿肉均可食用。</t>
  </si>
  <si>
    <t>驴肉</t>
  </si>
  <si>
    <t>含有蛋白质及多种微量元素，滋补效果明显，有助改善气血不足及食欲不振。</t>
  </si>
  <si>
    <t>鸡心</t>
  </si>
  <si>
    <t>含有抗氧化剂和维生素C，有助提升免疫力和抵抗疾病。</t>
  </si>
  <si>
    <t>鸡胗</t>
  </si>
  <si>
    <t>铁、锌等微量元素含量丰富，磷含量高，口感有韧性。</t>
  </si>
  <si>
    <t>牛舌</t>
  </si>
  <si>
    <t>蛋白质含量较高，脂肪含量适中，含大量B族维生素、铁、锌，有助提升免疫力。</t>
  </si>
  <si>
    <t>牛肺</t>
  </si>
  <si>
    <t>优质蛋白质来源，含丰富氨基酸，有助生长、修复组织和维持免疫系统功能。</t>
  </si>
  <si>
    <t>兔胃</t>
  </si>
  <si>
    <t>富含蛋白质、维生素和矿物质，低脂。</t>
  </si>
  <si>
    <t>猪舌</t>
  </si>
  <si>
    <t>含有丰富氨基酸，有助生长和维持肌肉组织。</t>
  </si>
  <si>
    <t>牛喉管</t>
  </si>
  <si>
    <t>含丰富胶原蛋白，对关节和皮毛有益，含磷、钙，有助骨骼健康。</t>
  </si>
  <si>
    <t>牛肚</t>
  </si>
  <si>
    <t>含丰富胶原蛋白，可养护皮肤、毛发和关节健康。</t>
  </si>
  <si>
    <t>鸭食管</t>
  </si>
  <si>
    <t>富含消化酶，有助肠道健康，调节胃肠功能。</t>
  </si>
  <si>
    <t>虾</t>
  </si>
  <si>
    <t>富含钙、磷、锌、镁等多种矿物质和碘，有助强化骨骼和保护心脏健康。</t>
  </si>
  <si>
    <t>鳕鱼</t>
  </si>
  <si>
    <t>含有磷、钾、镁多种矿物质、B族维生素，有助骨骼发育，增强新陈代谢。</t>
  </si>
  <si>
    <t>鲅鱼</t>
  </si>
  <si>
    <t>含优质蛋白质、omega-3、维生素D和矿物质，可保护心脏和关节，调节免疫系统。</t>
  </si>
  <si>
    <t>沙丁鱼</t>
  </si>
  <si>
    <t>含维生素D，有助钙吸收，促进骨骼发育和维持健康水平。</t>
  </si>
  <si>
    <t>三文鱼</t>
  </si>
  <si>
    <t>含有Omega-3、EPA、DHA，有助心脏健康、降低炎症、改善皮肤和毛发光泽度。</t>
  </si>
  <si>
    <t>秋刀鱼</t>
  </si>
  <si>
    <t>含优质蛋白质、omega-3、维生素D和矿物质，保护心脏和关节，调节免疫力。</t>
  </si>
  <si>
    <t>青花鱼</t>
  </si>
  <si>
    <t>含Omega3、脂肪酸、DHA和EPA，促进大脑发育和全身血液循环，可预防心脑血管疾病。</t>
  </si>
  <si>
    <t>青口贝</t>
  </si>
  <si>
    <t>含有Omega-3脂肪酸、EPA、DHA，有助减少炎症反应，抗炎，保护关节。</t>
  </si>
  <si>
    <t>蛏子</t>
  </si>
  <si>
    <t>锌、铁和维生素B12含量高，可补充体力和补血。</t>
  </si>
  <si>
    <t>生蚝</t>
  </si>
  <si>
    <t>富含锌、铁、维生素B12等营养元素，对免疫系统和皮肤有益，同时含有铁元素，有助血红蛋白形成，维持氧气运输。</t>
  </si>
  <si>
    <t>鲍鱼</t>
  </si>
  <si>
    <t>含丰富蛋白质、锌、铁和维生素B12，有助生长发育，免疫力提升，保护皮毛。</t>
  </si>
  <si>
    <t>鸡肝</t>
  </si>
  <si>
    <t>富含铁、维生素A、B族维生素和氨基酸，对血液健康和免疫系统有益。</t>
  </si>
  <si>
    <t>鸭肝</t>
  </si>
  <si>
    <t>兔肝</t>
  </si>
  <si>
    <t>猪肝</t>
  </si>
  <si>
    <t>铁含量高，对预防和改善贫血有一定帮助。</t>
  </si>
  <si>
    <t>牛肝</t>
  </si>
  <si>
    <t>养血、明目、补肝，维生素A含量远高于其他肉蛋奶，美毛黑鼻头作用明显。</t>
  </si>
  <si>
    <t>兔腰</t>
  </si>
  <si>
    <t>富含多种维生素，对视力、神经系统、免疫系统都有益，同时含多种矿物质，可保护骨骼和促进代谢。</t>
  </si>
  <si>
    <t>猪腰</t>
  </si>
  <si>
    <t>含磷、铁以及B族维生素，保护骨骼健康，增强免疫力。</t>
  </si>
  <si>
    <t>猪脑</t>
  </si>
  <si>
    <t>富含蛋白质和维生素，保护皮肤，促进细胞生长。</t>
  </si>
  <si>
    <t>牛脾</t>
  </si>
  <si>
    <t>含大量铁、锌、磷，保护骨骼，增强代谢。</t>
  </si>
  <si>
    <t>牛胰腺</t>
  </si>
  <si>
    <t>含丰富的蛋白质、维生素和矿物质。</t>
  </si>
  <si>
    <t>彩椒</t>
  </si>
  <si>
    <t>可补充维生素，是蔬菜中维生素A和C含量最高的，90%以上含水量，适合不爱喝水的宠物。</t>
  </si>
  <si>
    <t>西葫芦</t>
  </si>
  <si>
    <t>补充维生素C和葡萄糖，改善低血糖。</t>
  </si>
  <si>
    <t>白菜</t>
  </si>
  <si>
    <t>可帮狗狗排出体内的盐分，可消炎利尿。</t>
  </si>
  <si>
    <t>黄瓜</t>
  </si>
  <si>
    <t>含蛋白质、维生素B2、维生素C、维生素E、胡萝卜素、钙、磷、铁，可预防便秘、降血糖血脂、稳血压、减轻关节疼痛。</t>
  </si>
  <si>
    <t>菠菜</t>
  </si>
  <si>
    <t>含类胡萝卜素、维生素C、维生素K、钙、铁，可延缓衰老、改善毛发光泽，含辅酶Q10，心脏病适合食用。</t>
  </si>
  <si>
    <t>芹菜</t>
  </si>
  <si>
    <t>含膳食纤维，有利通便，微量元素含量丰富。</t>
  </si>
  <si>
    <t>西兰花</t>
  </si>
  <si>
    <t>含硫葡萄糖和丰富的抗坏血酸，可增强肝脏解毒能力、提高机体免疫力。其中的类黄酮，对高血压、心脏病有调节和预防的功用。</t>
  </si>
  <si>
    <t>圆白菜</t>
  </si>
  <si>
    <t>含有蔬菜中抗癌最强成分--萝卜硫素。</t>
  </si>
  <si>
    <t>生菜</t>
  </si>
  <si>
    <t>促进蛋白质和脂肪的消化与吸收，改善肠胃的血液循环（有结石的宠物禁食）</t>
  </si>
  <si>
    <t>冬瓜</t>
  </si>
  <si>
    <t>有助清热利尿。</t>
  </si>
  <si>
    <t>秋葵</t>
  </si>
  <si>
    <t>含有大量的粘滑汁液，其汁液中混有果胶、牛乳聚糖和阿拉伯聚糖，果胶为可溶性纤维，可为关节提供保护。其中含有的胡萝卜素可促进肠胃蠕动和营养。</t>
  </si>
  <si>
    <t>胡萝卜</t>
  </si>
  <si>
    <t>含有胡萝卜素，对眼睛有一定好处，帮助提高免疫力。</t>
  </si>
  <si>
    <t>花椰菜</t>
  </si>
  <si>
    <t>含均衡的维生素C、D和矿物质，有助减肥。</t>
  </si>
  <si>
    <t>卷心菜</t>
  </si>
  <si>
    <t>恢复胃黏膜，改善胃炎，有助骨骼发育。</t>
  </si>
  <si>
    <t>番茄/小番茄</t>
  </si>
  <si>
    <t>含果酸、矿物质、维生素、蛋白质 、谷胱甘肽和番茄红素，减少体内自由基对胰岛的损害，调节血糖。</t>
  </si>
  <si>
    <t>香菇</t>
  </si>
  <si>
    <t>含身体发育必需脂肪酸，有助降血糖、降低血清、胆固醇和抑制动脉血栓形成的作用，增强免疫力。</t>
  </si>
  <si>
    <t>口蘑</t>
  </si>
  <si>
    <t>含有酪氨酸酶、胰蛋白酶、麦芽糖酶，有助降低胆固醇。</t>
  </si>
  <si>
    <t>平菇</t>
  </si>
  <si>
    <t>富含维生素、矿物质，粗纤维含量较多，可帮助缓解消化不良的情况。</t>
  </si>
  <si>
    <t>蟹味菇</t>
  </si>
  <si>
    <t>具有独特蟹香味，开胃健脾，有助食欲。</t>
  </si>
  <si>
    <t>南瓜</t>
  </si>
  <si>
    <t>含丰富的胡萝卜素和维生素C，可起到消除致癌物质防癌的作用。含有大量的锌，有益皮毛，其中抗氧化剂胡萝卜素具有护眼、护心的作用。</t>
  </si>
  <si>
    <t>山药</t>
  </si>
  <si>
    <t>可治疗脾胃虚弱，对于肠胃功能减退而引起的久泻很有好处。</t>
  </si>
  <si>
    <t>紫薯</t>
  </si>
  <si>
    <t>富含丰富的矿物质、花青素、膳食纤维，可提高免疫力、抗癌抗肿瘤、促进肠胃蠕动、帮助排便，同时具有美毛和去泪痕的功效。</t>
  </si>
  <si>
    <t>红薯</t>
  </si>
  <si>
    <t>含丰富的膳食纤维、维生素C和E，促进排便。</t>
  </si>
  <si>
    <t>莲藕</t>
  </si>
  <si>
    <t>富含维生素K，对凝血机制有一定好处，富含膳食纤维、微量元素和维生素。</t>
  </si>
  <si>
    <t>芋头</t>
  </si>
  <si>
    <t>必须熟食，含有膳食纤维，少量食用有助消化，不可多食，会增加肠胃负担。</t>
  </si>
  <si>
    <t>土豆</t>
  </si>
  <si>
    <t>低卡路里，适合需要减肥的宠物，饱腹感强、改善便秘。</t>
  </si>
  <si>
    <t>玉米</t>
  </si>
  <si>
    <t>含有黄体素、玉米黄质，可预防眼睛老化。含膳食纤维促进刺激肠胃蠕动，帮助消化。</t>
  </si>
  <si>
    <t>燕麦</t>
  </si>
  <si>
    <t>富含膳食纤维、脂肪酸、维生素，可增强饱腹感、维持皮肤屏障、促进伤口愈合、缓解炎症。</t>
  </si>
  <si>
    <t>藜麦</t>
  </si>
  <si>
    <t>含丰富的蛋白质、叶酸、镁和锌，可改善肠道健康、对抗炎症、调节免疫，保护细胞免受氧化损伤。</t>
  </si>
  <si>
    <t>小米</t>
  </si>
  <si>
    <t>蛋白质含量较高，无麸质，易消化，维持免疫系统。</t>
  </si>
  <si>
    <t>奇亚籽</t>
  </si>
  <si>
    <t>富含多种矿物质、镁、锰，硒含量极高，可保护心脏，起到降低血糖的作用并支持消化系统健康。</t>
  </si>
  <si>
    <t>苋菜籽</t>
  </si>
  <si>
    <t>含膳食纤维和益生元，可帮助狗狗降低胆固醇，对抗心脏疾病和消化疾病。</t>
  </si>
  <si>
    <t>亚麻籽</t>
  </si>
  <si>
    <t>富含不饱和脂肪酸和抗氧化剂，维护消化功能和免疫系统。</t>
  </si>
  <si>
    <t>黑芝麻</t>
  </si>
  <si>
    <t>抗氧化，帮助减少炎症，保护心脏健康。</t>
  </si>
  <si>
    <t>葵花籽</t>
  </si>
  <si>
    <t>富含丰富的维生素E、亚油酸和镁，帮助控制血糖，减少糖尿病的发生，减缓皮肤老化。</t>
  </si>
  <si>
    <t>猕猴桃</t>
  </si>
  <si>
    <t>含丰富的钙、磷、铁、胡萝卜素，其中的维生素C含量较高，有助降低胆固醇。</t>
  </si>
  <si>
    <t>草莓</t>
  </si>
  <si>
    <t>含丰富的维生素C、果胶及纤维素，可促进胃肠动、帮助消化。有很强的抗氧化功能，抑制肝火。</t>
  </si>
  <si>
    <t>蓝莓</t>
  </si>
  <si>
    <t>营养丰富，有效降低胆固醇、防止动脉粥样硬化，保护心血管健康，有增强心脏功能、预防癌症的功效，能防止脑神经衰老、增强脑力、还可强化视力。</t>
  </si>
  <si>
    <t>梨</t>
  </si>
  <si>
    <t>含丰富的B族维生素，能保护心脏、减轻疲劳、增强心肌活力、降低血压，果胶含量较高，有助消化、润肠通便、祛泪痕，除口臭。</t>
  </si>
  <si>
    <t>香蕉</t>
  </si>
  <si>
    <t>含有大量钾和维生素C，可促进肠胃蠕动、润肠通便，对消化、心脏和肌肉系统都有好处，幼犬和肠胃不好的狗狗禁食。</t>
  </si>
  <si>
    <t>苹果</t>
  </si>
  <si>
    <t>含有丰富的膳食纤维，可调整肠胃功能、排除毒素。</t>
  </si>
  <si>
    <t>狗粮营养标准-基于干物质</t>
  </si>
  <si>
    <t>猫粮营养标准-基于干物质</t>
  </si>
  <si>
    <t>营养成分</t>
  </si>
  <si>
    <t>干质量比</t>
  </si>
  <si>
    <t>生长期&amp;孕期最低</t>
  </si>
  <si>
    <t>成年维持最低</t>
  </si>
  <si>
    <t>最高</t>
  </si>
  <si>
    <t>蛋白质</t>
  </si>
  <si>
    <t>%</t>
  </si>
  <si>
    <t>精氨酸</t>
  </si>
  <si>
    <t>组氨酸</t>
  </si>
  <si>
    <t>异亮氨酸</t>
  </si>
  <si>
    <t>亮氨酸</t>
  </si>
  <si>
    <t>赖氨酸</t>
  </si>
  <si>
    <t>蛋氨酸</t>
  </si>
  <si>
    <t>蛋氨酸-胱氨酸</t>
  </si>
  <si>
    <t>苯基丙氨酸</t>
  </si>
  <si>
    <t>酪氨酸</t>
  </si>
  <si>
    <t>苏氨酸</t>
  </si>
  <si>
    <t>色氨酸</t>
  </si>
  <si>
    <t>缬氨酸</t>
  </si>
  <si>
    <t>脂肪</t>
  </si>
  <si>
    <t>亚油酸</t>
  </si>
  <si>
    <t>a-亚麻酸</t>
  </si>
  <si>
    <t>ND</t>
  </si>
  <si>
    <t>花生四烯酸</t>
  </si>
  <si>
    <t>二十碳五烯酸+二十二碳六烯酸</t>
  </si>
  <si>
    <t>十碳五烯酸+二十二碳六烯酸</t>
  </si>
  <si>
    <t>Omega6:Omega3</t>
  </si>
  <si>
    <t>30:1</t>
  </si>
  <si>
    <t>矿物质</t>
  </si>
  <si>
    <t>钙</t>
  </si>
  <si>
    <t>磷</t>
  </si>
  <si>
    <t>钙:磷</t>
  </si>
  <si>
    <t>2:01</t>
  </si>
  <si>
    <t>钾</t>
  </si>
  <si>
    <t>钠</t>
  </si>
  <si>
    <t>氯</t>
  </si>
  <si>
    <t>镁</t>
  </si>
  <si>
    <t>铁</t>
  </si>
  <si>
    <t>mg/kg</t>
  </si>
  <si>
    <t>铜</t>
  </si>
  <si>
    <t>锰</t>
  </si>
  <si>
    <t>锌</t>
  </si>
  <si>
    <t>碘</t>
  </si>
  <si>
    <t>硒</t>
  </si>
  <si>
    <t>维生素&amp;其他</t>
  </si>
  <si>
    <t>维生素A</t>
  </si>
  <si>
    <t>IU/kg</t>
  </si>
  <si>
    <t>维生素D</t>
  </si>
  <si>
    <t>维生素E</t>
  </si>
  <si>
    <t>维生素B1</t>
  </si>
  <si>
    <t>维生素K</t>
  </si>
  <si>
    <t>维生素B2</t>
  </si>
  <si>
    <t>硫胺素(维生素B1)</t>
  </si>
  <si>
    <t>维生素B5</t>
  </si>
  <si>
    <t>核黄素(维生素B2)</t>
  </si>
  <si>
    <t>烟酸</t>
  </si>
  <si>
    <t>泛酸(维生素B3)</t>
  </si>
  <si>
    <t>维生素B6</t>
  </si>
  <si>
    <t>叶酸(维生素B)</t>
  </si>
  <si>
    <t>维生素B12</t>
  </si>
  <si>
    <t>胆碱</t>
  </si>
  <si>
    <t>生物素(维生素H)</t>
  </si>
  <si>
    <t>牛磺酸(canned)</t>
  </si>
  <si>
    <t>犬适用情况</t>
  </si>
  <si>
    <t>猫适用情况</t>
  </si>
  <si>
    <t>建议热量系数</t>
  </si>
  <si>
    <t>热量系数均值</t>
  </si>
  <si>
    <t>维持系数</t>
  </si>
  <si>
    <t>维持系数均值</t>
  </si>
  <si>
    <t>幼犬（1-3个月）</t>
  </si>
  <si>
    <t xml:space="preserve">2.8 ~ 3.0
</t>
  </si>
  <si>
    <t>幼猫（2-3个月）</t>
  </si>
  <si>
    <t>9.0% ~ 10.0%</t>
  </si>
  <si>
    <t xml:space="preserve">幼犬（4-5个月）
</t>
  </si>
  <si>
    <t xml:space="preserve">2.6 ~ 2.8
</t>
  </si>
  <si>
    <t>幼猫（4-5个月）</t>
  </si>
  <si>
    <t xml:space="preserve">7.0% ~ 8.0%
</t>
  </si>
  <si>
    <t xml:space="preserve">幼犬（6-7个月）
</t>
  </si>
  <si>
    <t xml:space="preserve">2.4 ~ 2.6
</t>
  </si>
  <si>
    <t>幼猫（6-7个月）</t>
  </si>
  <si>
    <t>6.0% ~ 7.0%</t>
  </si>
  <si>
    <t xml:space="preserve">幼犬（8-9个月）
</t>
  </si>
  <si>
    <t xml:space="preserve">2.2 ~ 2.4
</t>
  </si>
  <si>
    <t>幼猫（8-9个月）</t>
  </si>
  <si>
    <t>5.0% ~ 6.0%</t>
  </si>
  <si>
    <t xml:space="preserve">幼犬（10-11个月）
</t>
  </si>
  <si>
    <t xml:space="preserve">2.0 ~ 2.2
</t>
  </si>
  <si>
    <t>幼猫（10-11个月）</t>
  </si>
  <si>
    <t>4.0% ~ 5.0%</t>
  </si>
  <si>
    <t>幼犬（大型12-13个月）</t>
  </si>
  <si>
    <t xml:space="preserve">1.8 ~ 2.0
</t>
  </si>
  <si>
    <t>成年猫（活动量偏多）</t>
  </si>
  <si>
    <t>3.5% ~ 4.0%</t>
  </si>
  <si>
    <t>幼犬（大型14-18个月）</t>
  </si>
  <si>
    <t xml:space="preserve">1.6 ~ 1.8
</t>
  </si>
  <si>
    <t>2.5% ~ 3.5%</t>
  </si>
  <si>
    <t xml:space="preserve">孕犬
</t>
  </si>
  <si>
    <t xml:space="preserve">1.8
</t>
  </si>
  <si>
    <t>成年猫（活动量偏少）</t>
  </si>
  <si>
    <t>2.0% ~ 2.5%</t>
  </si>
  <si>
    <t xml:space="preserve">1.2 ~ 1.4
</t>
  </si>
  <si>
    <t xml:space="preserve">成年犬（偏瘦体型）
</t>
  </si>
  <si>
    <t>1.4 ~ 1.6</t>
  </si>
  <si>
    <t>成年犬（偏胖体型）</t>
  </si>
  <si>
    <t>1.0 ~ 1.2</t>
  </si>
</sst>
</file>

<file path=xl/styles.xml><?xml version="1.0" encoding="utf-8"?>
<styleSheet xmlns="http://schemas.openxmlformats.org/spreadsheetml/2006/main">
  <numFmts count="39">
    <numFmt numFmtId="6" formatCode="&quot;￥&quot;#,##0;[Red]&quot;￥&quot;\-#,##0"/>
    <numFmt numFmtId="176" formatCode="\¥#,##0.00;[Red]\¥\-#,##0.00"/>
    <numFmt numFmtId="5" formatCode="&quot;￥&quot;#,##0;&quot;￥&quot;\-#,##0"/>
    <numFmt numFmtId="24" formatCode="\$#,##0_);[Red]\(\$#,##0\)"/>
    <numFmt numFmtId="26" formatCode="\$#,##0.00_);[Red]\(\$#,##0.00\)"/>
    <numFmt numFmtId="177" formatCode="[$-804]aaa"/>
    <numFmt numFmtId="178" formatCode="mmmmm"/>
    <numFmt numFmtId="179" formatCode="[DBNum1][$-804]yyyy&quot;年&quot;m&quot;月&quot;d&quot;日&quot;"/>
    <numFmt numFmtId="180" formatCode="h:mm:ss\ AM/PM"/>
    <numFmt numFmtId="181" formatCode="mm/dd/yy"/>
    <numFmt numFmtId="182" formatCode="[DBNum1][$-804]m&quot;月&quot;d&quot;日&quot;"/>
    <numFmt numFmtId="7" formatCode="&quot;￥&quot;#,##0.00;&quot;￥&quot;\-#,##0.00"/>
    <numFmt numFmtId="183" formatCode="[$-804]aaaa"/>
    <numFmt numFmtId="8" formatCode="&quot;￥&quot;#,##0.00;[Red]&quot;￥&quot;\-#,##0.00"/>
    <numFmt numFmtId="184" formatCode="yyyy/m/d\ h:mm\ AM/PM"/>
    <numFmt numFmtId="185" formatCode="mmmm\-yy"/>
    <numFmt numFmtId="186" formatCode="\¥#,##0.00;\¥\-#,##0.00"/>
    <numFmt numFmtId="187" formatCode="m/d"/>
    <numFmt numFmtId="188" formatCode="dd\-mmm\-yy"/>
    <numFmt numFmtId="23" formatCode="\$#,##0_);\(\$#,##0\)"/>
    <numFmt numFmtId="25" formatCode="\$#,##0.00_);\(\$#,##0.00\)"/>
    <numFmt numFmtId="189" formatCode="[DBNum1]h&quot;时&quot;mm&quot;分&quot;"/>
    <numFmt numFmtId="190" formatCode="\¥#,##0;\¥\-#,##0"/>
    <numFmt numFmtId="191" formatCode="[DBNum1][$-804]yyyy&quot;年&quot;m&quot;月&quot;"/>
    <numFmt numFmtId="192" formatCode="#\ ?/?"/>
    <numFmt numFmtId="193" formatCode="[DBNum1]上午/下午h&quot;时&quot;mm&quot;分&quot;"/>
    <numFmt numFmtId="44" formatCode="_ &quot;￥&quot;* #,##0.00_ ;_ &quot;￥&quot;* \-#,##0.00_ ;_ &quot;￥&quot;* &quot;-&quot;??_ ;_ @_ "/>
    <numFmt numFmtId="194" formatCode="\¥#,##0;[Red]\¥\-#,##0"/>
    <numFmt numFmtId="195" formatCode="#\ ??/??"/>
    <numFmt numFmtId="42" formatCode="_ &quot;￥&quot;* #,##0_ ;_ &quot;￥&quot;* \-#,##0_ ;_ &quot;￥&quot;* &quot;-&quot;_ ;_ @_ "/>
    <numFmt numFmtId="196" formatCode="#\ ??"/>
    <numFmt numFmtId="197" formatCode="yy/m/d"/>
    <numFmt numFmtId="198" formatCode="mmmmm\-yy"/>
    <numFmt numFmtId="199" formatCode="0_ "/>
    <numFmt numFmtId="200" formatCode="0.00_ "/>
    <numFmt numFmtId="201" formatCode="0.0_ "/>
    <numFmt numFmtId="41" formatCode="_ * #,##0_ ;_ * \-#,##0_ ;_ * &quot;-&quot;_ ;_ @_ "/>
    <numFmt numFmtId="43" formatCode="_ * #,##0.00_ ;_ * \-#,##0.00_ ;_ * &quot;-&quot;??_ ;_ @_ "/>
    <numFmt numFmtId="202" formatCode="h:mm\ AM/PM"/>
  </numFmts>
  <fonts count="27">
    <font>
      <sz val="11"/>
      <color theme="1"/>
      <name val="宋体"/>
      <charset val="134"/>
      <scheme val="minor"/>
    </font>
    <font>
      <sz val="16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b/>
      <sz val="14"/>
      <color theme="1"/>
      <name val="微软雅黑"/>
      <charset val="134"/>
    </font>
    <font>
      <sz val="10"/>
      <color rgb="FFE65100"/>
      <name val="微软雅黑"/>
      <charset val="134"/>
    </font>
    <font>
      <sz val="10"/>
      <color theme="5" tint="-0.25"/>
      <name val="微软雅黑"/>
      <charset val="134"/>
    </font>
    <font>
      <sz val="9"/>
      <color theme="1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D7CCC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theme="0" tint="-0.25"/>
      </left>
      <right style="thin">
        <color theme="0" tint="-0.25"/>
      </right>
      <top style="medium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thin">
        <color theme="0" tint="-0.25"/>
      </right>
      <top style="medium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medium">
        <color theme="0" tint="-0.25"/>
      </right>
      <top style="medium">
        <color theme="0" tint="-0.25"/>
      </top>
      <bottom style="thin">
        <color theme="0" tint="-0.25"/>
      </bottom>
      <diagonal/>
    </border>
    <border>
      <left style="medium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medium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medium">
        <color theme="0" tint="-0.25"/>
      </left>
      <right style="thin">
        <color theme="0" tint="-0.25"/>
      </right>
      <top style="thin">
        <color theme="0" tint="-0.25"/>
      </top>
      <bottom style="medium">
        <color theme="0" tint="-0.25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medium">
        <color theme="0" tint="-0.25"/>
      </bottom>
      <diagonal/>
    </border>
    <border>
      <left style="thin">
        <color theme="0" tint="-0.25"/>
      </left>
      <right style="medium">
        <color theme="0" tint="-0.25"/>
      </right>
      <top style="thin">
        <color theme="0" tint="-0.25"/>
      </top>
      <bottom style="medium">
        <color theme="0" tint="-0.25"/>
      </bottom>
      <diagonal/>
    </border>
    <border>
      <left style="thin">
        <color theme="0" tint="-0.25"/>
      </left>
      <right/>
      <top style="medium">
        <color theme="0" tint="-0.25"/>
      </top>
      <bottom style="thin">
        <color theme="0" tint="-0.25"/>
      </bottom>
      <diagonal/>
    </border>
    <border>
      <left style="thin">
        <color theme="0" tint="-0.25"/>
      </left>
      <right/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/>
      <top style="thin">
        <color theme="0" tint="-0.25"/>
      </top>
      <bottom style="medium">
        <color theme="0" tint="-0.25"/>
      </bottom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/>
      <right style="thin">
        <color theme="0" tint="-0.5"/>
      </right>
      <top/>
      <bottom style="thin">
        <color theme="0" tint="-0.5"/>
      </bottom>
      <diagonal/>
    </border>
    <border>
      <left style="thin">
        <color theme="0" tint="-0.5"/>
      </left>
      <right style="thin">
        <color theme="0" tint="-0.5"/>
      </right>
      <top/>
      <bottom style="thin">
        <color theme="0" tint="-0.5"/>
      </bottom>
      <diagonal/>
    </border>
    <border>
      <left/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>
      <left style="thin">
        <color theme="0" tint="-0.25"/>
      </left>
      <right/>
      <top style="thin">
        <color theme="0" tint="-0.25"/>
      </top>
      <bottom/>
      <diagonal/>
    </border>
    <border>
      <left/>
      <right/>
      <top style="thin">
        <color theme="0" tint="-0.25"/>
      </top>
      <bottom/>
      <diagonal/>
    </border>
    <border>
      <left style="thin">
        <color theme="0" tint="-0.25"/>
      </left>
      <right/>
      <top/>
      <bottom/>
      <diagonal/>
    </border>
    <border>
      <left style="thin">
        <color theme="0" tint="-0.25"/>
      </left>
      <right/>
      <top/>
      <bottom style="thin">
        <color theme="0" tint="-0.25"/>
      </bottom>
      <diagonal/>
    </border>
    <border>
      <left/>
      <right/>
      <top/>
      <bottom style="thin">
        <color theme="0" tint="-0.25"/>
      </bottom>
      <diagonal/>
    </border>
    <border>
      <left/>
      <right style="thin">
        <color theme="0" tint="-0.25"/>
      </right>
      <top style="thin">
        <color theme="0" tint="-0.25"/>
      </top>
      <bottom/>
      <diagonal/>
    </border>
    <border>
      <left/>
      <right style="thin">
        <color theme="0" tint="-0.25"/>
      </right>
      <top/>
      <bottom/>
      <diagonal/>
    </border>
    <border>
      <left/>
      <right style="thin">
        <color theme="0" tint="-0.25"/>
      </right>
      <top/>
      <bottom style="thin">
        <color theme="0" tint="-0.25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Border="0">
      <alignment vertical="center"/>
    </xf>
    <xf numFmtId="0" fontId="10" fillId="1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5" fillId="38" borderId="30" applyNumberFormat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1" fillId="32" borderId="30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3" fillId="0" borderId="31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4" fillId="36" borderId="32" applyNumberFormat="0" applyAlignment="0" applyProtection="0">
      <alignment vertical="center"/>
    </xf>
    <xf numFmtId="0" fontId="26" fillId="32" borderId="33" applyNumberFormat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0" fillId="27" borderId="29" applyNumberFormat="0" applyFon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0" borderId="28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0" borderId="27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0" borderId="26" applyNumberFormat="0" applyFill="0" applyAlignment="0" applyProtection="0">
      <alignment vertical="center"/>
    </xf>
  </cellStyleXfs>
  <cellXfs count="10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0" fontId="0" fillId="0" borderId="0" xfId="9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00" fontId="1" fillId="2" borderId="0" xfId="0" applyNumberFormat="1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200" fontId="2" fillId="3" borderId="3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1" fillId="2" borderId="0" xfId="9" applyNumberFormat="1" applyFont="1" applyFill="1" applyAlignment="1">
      <alignment horizontal="center" vertical="center"/>
    </xf>
    <xf numFmtId="10" fontId="2" fillId="3" borderId="3" xfId="9" applyNumberFormat="1" applyFont="1" applyFill="1" applyBorder="1" applyAlignment="1">
      <alignment horizontal="center" vertical="center"/>
    </xf>
    <xf numFmtId="10" fontId="2" fillId="0" borderId="6" xfId="9" applyNumberFormat="1" applyFont="1" applyBorder="1" applyAlignment="1">
      <alignment horizontal="center" vertical="center"/>
    </xf>
    <xf numFmtId="10" fontId="2" fillId="0" borderId="9" xfId="9" applyNumberFormat="1" applyFont="1" applyBorder="1" applyAlignment="1">
      <alignment horizontal="center" vertical="center"/>
    </xf>
    <xf numFmtId="10" fontId="2" fillId="0" borderId="0" xfId="9" applyNumberFormat="1" applyFont="1" applyAlignment="1">
      <alignment horizontal="center" vertical="center"/>
    </xf>
    <xf numFmtId="200" fontId="2" fillId="0" borderId="0" xfId="0" applyNumberFormat="1" applyFont="1" applyAlignment="1">
      <alignment horizontal="center" vertical="center"/>
    </xf>
    <xf numFmtId="200" fontId="2" fillId="3" borderId="2" xfId="0" applyNumberFormat="1" applyFont="1" applyFill="1" applyBorder="1" applyAlignment="1">
      <alignment horizontal="center" vertical="center"/>
    </xf>
    <xf numFmtId="200" fontId="2" fillId="3" borderId="10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200" fontId="2" fillId="0" borderId="5" xfId="0" applyNumberFormat="1" applyFont="1" applyBorder="1" applyAlignment="1">
      <alignment horizontal="center" vertical="center"/>
    </xf>
    <xf numFmtId="200" fontId="2" fillId="0" borderId="11" xfId="0" applyNumberFormat="1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200" fontId="2" fillId="0" borderId="8" xfId="0" applyNumberFormat="1" applyFont="1" applyBorder="1" applyAlignment="1">
      <alignment horizontal="center" vertical="center"/>
    </xf>
    <xf numFmtId="200" fontId="2" fillId="0" borderId="12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00" fontId="2" fillId="0" borderId="2" xfId="0" applyNumberFormat="1" applyFont="1" applyBorder="1" applyAlignment="1">
      <alignment horizontal="center" vertical="center"/>
    </xf>
    <xf numFmtId="200" fontId="2" fillId="0" borderId="10" xfId="0" applyNumberFormat="1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00" fontId="3" fillId="0" borderId="2" xfId="0" applyNumberFormat="1" applyFont="1" applyBorder="1" applyAlignment="1">
      <alignment horizontal="center" vertical="center"/>
    </xf>
    <xf numFmtId="200" fontId="3" fillId="0" borderId="10" xfId="0" applyNumberFormat="1" applyFont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200" fontId="3" fillId="0" borderId="6" xfId="0" applyNumberFormat="1" applyFont="1" applyBorder="1" applyAlignment="1">
      <alignment horizontal="center" vertical="center"/>
    </xf>
    <xf numFmtId="200" fontId="2" fillId="0" borderId="6" xfId="0" applyNumberFormat="1" applyFont="1" applyBorder="1" applyAlignment="1">
      <alignment horizontal="center" vertical="center"/>
    </xf>
    <xf numFmtId="200" fontId="2" fillId="0" borderId="9" xfId="0" applyNumberFormat="1" applyFont="1" applyBorder="1" applyAlignment="1">
      <alignment horizontal="center" vertical="center"/>
    </xf>
    <xf numFmtId="200" fontId="3" fillId="0" borderId="3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200" fontId="3" fillId="0" borderId="5" xfId="0" applyNumberFormat="1" applyFont="1" applyBorder="1" applyAlignment="1">
      <alignment horizontal="center" vertical="center"/>
    </xf>
    <xf numFmtId="200" fontId="3" fillId="0" borderId="11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3" borderId="7" xfId="0" applyFont="1" applyFill="1" applyBorder="1" applyAlignment="1" applyProtection="1">
      <alignment horizontal="center" vertical="center"/>
      <protection locked="0"/>
    </xf>
    <xf numFmtId="0" fontId="2" fillId="3" borderId="8" xfId="0" applyFont="1" applyFill="1" applyBorder="1" applyAlignment="1" applyProtection="1">
      <alignment horizontal="center" vertical="center"/>
      <protection locked="0"/>
    </xf>
    <xf numFmtId="0" fontId="3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0" fontId="2" fillId="9" borderId="13" xfId="0" applyFont="1" applyFill="1" applyBorder="1" applyAlignment="1">
      <alignment horizontal="center" vertical="center"/>
    </xf>
    <xf numFmtId="9" fontId="2" fillId="10" borderId="14" xfId="9" applyNumberFormat="1" applyFont="1" applyFill="1" applyBorder="1" applyAlignment="1">
      <alignment horizontal="center" vertical="center"/>
    </xf>
    <xf numFmtId="199" fontId="2" fillId="0" borderId="15" xfId="0" applyNumberFormat="1" applyFont="1" applyBorder="1" applyAlignment="1">
      <alignment horizontal="center" vertical="center"/>
    </xf>
    <xf numFmtId="9" fontId="2" fillId="10" borderId="16" xfId="9" applyNumberFormat="1" applyFont="1" applyFill="1" applyBorder="1" applyAlignment="1">
      <alignment horizontal="center" vertical="center"/>
    </xf>
    <xf numFmtId="201" fontId="2" fillId="0" borderId="15" xfId="0" applyNumberFormat="1" applyFont="1" applyBorder="1" applyAlignment="1">
      <alignment horizontal="center" vertical="center"/>
    </xf>
    <xf numFmtId="0" fontId="2" fillId="8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8" borderId="0" xfId="0" applyFont="1" applyFill="1" applyAlignment="1" applyProtection="1">
      <alignment horizontal="center" vertical="center"/>
      <protection locked="0"/>
    </xf>
    <xf numFmtId="0" fontId="2" fillId="12" borderId="0" xfId="0" applyFont="1" applyFill="1">
      <alignment vertical="center"/>
    </xf>
    <xf numFmtId="0" fontId="6" fillId="0" borderId="0" xfId="0" applyFont="1" applyFill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2" borderId="0" xfId="0" applyFont="1" applyFill="1">
      <alignment vertical="center"/>
    </xf>
    <xf numFmtId="0" fontId="2" fillId="3" borderId="5" xfId="0" applyFont="1" applyFill="1" applyBorder="1" applyAlignment="1">
      <alignment horizontal="left" vertical="center"/>
    </xf>
    <xf numFmtId="0" fontId="2" fillId="0" borderId="5" xfId="0" applyFont="1" applyBorder="1">
      <alignment vertical="center"/>
    </xf>
    <xf numFmtId="0" fontId="7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0" borderId="17" xfId="0" applyFont="1" applyBorder="1">
      <alignment vertical="center"/>
    </xf>
    <xf numFmtId="0" fontId="2" fillId="4" borderId="0" xfId="0" applyFont="1" applyFill="1" applyAlignment="1">
      <alignment horizontal="left" vertical="center"/>
    </xf>
    <xf numFmtId="0" fontId="2" fillId="0" borderId="17" xfId="0" applyFont="1" applyBorder="1" applyAlignment="1">
      <alignment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center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00FD6D65"/>
      <color rgb="00FF6D65"/>
      <color rgb="00B2C7E6"/>
      <color rgb="00FD6033"/>
      <color rgb="00FE365A"/>
      <color rgb="00FEED80"/>
      <color rgb="00CBE0B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699770</xdr:colOff>
      <xdr:row>3</xdr:row>
      <xdr:rowOff>384810</xdr:rowOff>
    </xdr:from>
    <xdr:to>
      <xdr:col>1</xdr:col>
      <xdr:colOff>1511300</xdr:colOff>
      <xdr:row>5</xdr:row>
      <xdr:rowOff>250190</xdr:rowOff>
    </xdr:to>
    <xdr:sp>
      <xdr:nvSpPr>
        <xdr:cNvPr id="2" name="文本框 1"/>
        <xdr:cNvSpPr txBox="1"/>
      </xdr:nvSpPr>
      <xdr:spPr>
        <a:xfrm rot="20640000">
          <a:off x="699770" y="140081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0</xdr:col>
      <xdr:colOff>627380</xdr:colOff>
      <xdr:row>7</xdr:row>
      <xdr:rowOff>123825</xdr:rowOff>
    </xdr:from>
    <xdr:to>
      <xdr:col>1</xdr:col>
      <xdr:colOff>1438910</xdr:colOff>
      <xdr:row>11</xdr:row>
      <xdr:rowOff>27305</xdr:rowOff>
    </xdr:to>
    <xdr:sp>
      <xdr:nvSpPr>
        <xdr:cNvPr id="8" name="文本框 7"/>
        <xdr:cNvSpPr txBox="1"/>
      </xdr:nvSpPr>
      <xdr:spPr>
        <a:xfrm rot="20640000">
          <a:off x="627380" y="2701925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0</xdr:col>
      <xdr:colOff>361950</xdr:colOff>
      <xdr:row>15</xdr:row>
      <xdr:rowOff>201930</xdr:rowOff>
    </xdr:from>
    <xdr:to>
      <xdr:col>1</xdr:col>
      <xdr:colOff>1173480</xdr:colOff>
      <xdr:row>18</xdr:row>
      <xdr:rowOff>283210</xdr:rowOff>
    </xdr:to>
    <xdr:sp>
      <xdr:nvSpPr>
        <xdr:cNvPr id="9" name="文本框 8"/>
        <xdr:cNvSpPr txBox="1"/>
      </xdr:nvSpPr>
      <xdr:spPr>
        <a:xfrm rot="20640000">
          <a:off x="361950" y="481203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0</xdr:col>
      <xdr:colOff>72390</xdr:colOff>
      <xdr:row>22</xdr:row>
      <xdr:rowOff>39370</xdr:rowOff>
    </xdr:from>
    <xdr:to>
      <xdr:col>1</xdr:col>
      <xdr:colOff>883920</xdr:colOff>
      <xdr:row>25</xdr:row>
      <xdr:rowOff>196850</xdr:rowOff>
    </xdr:to>
    <xdr:sp>
      <xdr:nvSpPr>
        <xdr:cNvPr id="10" name="文本框 9"/>
        <xdr:cNvSpPr txBox="1"/>
      </xdr:nvSpPr>
      <xdr:spPr>
        <a:xfrm rot="20640000">
          <a:off x="72390" y="679577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0</xdr:col>
      <xdr:colOff>72390</xdr:colOff>
      <xdr:row>29</xdr:row>
      <xdr:rowOff>79375</xdr:rowOff>
    </xdr:from>
    <xdr:to>
      <xdr:col>1</xdr:col>
      <xdr:colOff>884555</xdr:colOff>
      <xdr:row>32</xdr:row>
      <xdr:rowOff>351155</xdr:rowOff>
    </xdr:to>
    <xdr:sp>
      <xdr:nvSpPr>
        <xdr:cNvPr id="11" name="文本框 10"/>
        <xdr:cNvSpPr txBox="1"/>
      </xdr:nvSpPr>
      <xdr:spPr>
        <a:xfrm rot="20640000">
          <a:off x="72390" y="8613775"/>
          <a:ext cx="2764790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0</xdr:col>
      <xdr:colOff>85090</xdr:colOff>
      <xdr:row>37</xdr:row>
      <xdr:rowOff>226060</xdr:rowOff>
    </xdr:from>
    <xdr:to>
      <xdr:col>1</xdr:col>
      <xdr:colOff>896620</xdr:colOff>
      <xdr:row>41</xdr:row>
      <xdr:rowOff>129540</xdr:rowOff>
    </xdr:to>
    <xdr:sp>
      <xdr:nvSpPr>
        <xdr:cNvPr id="12" name="文本框 11"/>
        <xdr:cNvSpPr txBox="1"/>
      </xdr:nvSpPr>
      <xdr:spPr>
        <a:xfrm rot="20640000">
          <a:off x="85090" y="1080516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2</xdr:col>
      <xdr:colOff>1258570</xdr:colOff>
      <xdr:row>4</xdr:row>
      <xdr:rowOff>99060</xdr:rowOff>
    </xdr:from>
    <xdr:to>
      <xdr:col>4</xdr:col>
      <xdr:colOff>117475</xdr:colOff>
      <xdr:row>7</xdr:row>
      <xdr:rowOff>91440</xdr:rowOff>
    </xdr:to>
    <xdr:sp>
      <xdr:nvSpPr>
        <xdr:cNvPr id="13" name="文本框 12"/>
        <xdr:cNvSpPr txBox="1"/>
      </xdr:nvSpPr>
      <xdr:spPr>
        <a:xfrm rot="20640000">
          <a:off x="5163820" y="175006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2</xdr:col>
      <xdr:colOff>1000760</xdr:colOff>
      <xdr:row>18</xdr:row>
      <xdr:rowOff>221615</xdr:rowOff>
    </xdr:from>
    <xdr:to>
      <xdr:col>3</xdr:col>
      <xdr:colOff>1812290</xdr:colOff>
      <xdr:row>19</xdr:row>
      <xdr:rowOff>351790</xdr:rowOff>
    </xdr:to>
    <xdr:sp>
      <xdr:nvSpPr>
        <xdr:cNvPr id="15" name="文本框 14"/>
        <xdr:cNvSpPr txBox="1"/>
      </xdr:nvSpPr>
      <xdr:spPr>
        <a:xfrm rot="20640000">
          <a:off x="4906010" y="5669915"/>
          <a:ext cx="2764155" cy="51117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2</xdr:col>
      <xdr:colOff>631190</xdr:colOff>
      <xdr:row>23</xdr:row>
      <xdr:rowOff>133985</xdr:rowOff>
    </xdr:from>
    <xdr:to>
      <xdr:col>3</xdr:col>
      <xdr:colOff>1442720</xdr:colOff>
      <xdr:row>27</xdr:row>
      <xdr:rowOff>37465</xdr:rowOff>
    </xdr:to>
    <xdr:sp>
      <xdr:nvSpPr>
        <xdr:cNvPr id="16" name="文本框 15"/>
        <xdr:cNvSpPr txBox="1"/>
      </xdr:nvSpPr>
      <xdr:spPr>
        <a:xfrm rot="20640000">
          <a:off x="4536440" y="7144385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2</xdr:col>
      <xdr:colOff>631190</xdr:colOff>
      <xdr:row>30</xdr:row>
      <xdr:rowOff>175260</xdr:rowOff>
    </xdr:from>
    <xdr:to>
      <xdr:col>3</xdr:col>
      <xdr:colOff>1443355</xdr:colOff>
      <xdr:row>34</xdr:row>
      <xdr:rowOff>66040</xdr:rowOff>
    </xdr:to>
    <xdr:sp>
      <xdr:nvSpPr>
        <xdr:cNvPr id="17" name="文本框 16"/>
        <xdr:cNvSpPr txBox="1"/>
      </xdr:nvSpPr>
      <xdr:spPr>
        <a:xfrm rot="20640000">
          <a:off x="4536440" y="8963660"/>
          <a:ext cx="2764790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2</xdr:col>
      <xdr:colOff>643890</xdr:colOff>
      <xdr:row>39</xdr:row>
      <xdr:rowOff>70485</xdr:rowOff>
    </xdr:from>
    <xdr:to>
      <xdr:col>3</xdr:col>
      <xdr:colOff>1455420</xdr:colOff>
      <xdr:row>42</xdr:row>
      <xdr:rowOff>227965</xdr:rowOff>
    </xdr:to>
    <xdr:sp>
      <xdr:nvSpPr>
        <xdr:cNvPr id="18" name="文本框 17"/>
        <xdr:cNvSpPr txBox="1"/>
      </xdr:nvSpPr>
      <xdr:spPr>
        <a:xfrm rot="20640000">
          <a:off x="4549140" y="11157585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4</xdr:col>
      <xdr:colOff>1207135</xdr:colOff>
      <xdr:row>3</xdr:row>
      <xdr:rowOff>559435</xdr:rowOff>
    </xdr:from>
    <xdr:to>
      <xdr:col>6</xdr:col>
      <xdr:colOff>66040</xdr:colOff>
      <xdr:row>6</xdr:row>
      <xdr:rowOff>170815</xdr:rowOff>
    </xdr:to>
    <xdr:sp>
      <xdr:nvSpPr>
        <xdr:cNvPr id="19" name="文本框 18"/>
        <xdr:cNvSpPr txBox="1"/>
      </xdr:nvSpPr>
      <xdr:spPr>
        <a:xfrm rot="20640000">
          <a:off x="9017635" y="1575435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4</xdr:col>
      <xdr:colOff>1007745</xdr:colOff>
      <xdr:row>7</xdr:row>
      <xdr:rowOff>175260</xdr:rowOff>
    </xdr:from>
    <xdr:to>
      <xdr:col>5</xdr:col>
      <xdr:colOff>1819275</xdr:colOff>
      <xdr:row>11</xdr:row>
      <xdr:rowOff>78740</xdr:rowOff>
    </xdr:to>
    <xdr:sp>
      <xdr:nvSpPr>
        <xdr:cNvPr id="20" name="文本框 19"/>
        <xdr:cNvSpPr txBox="1"/>
      </xdr:nvSpPr>
      <xdr:spPr>
        <a:xfrm rot="20640000">
          <a:off x="8818245" y="275336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4</xdr:col>
      <xdr:colOff>742315</xdr:colOff>
      <xdr:row>15</xdr:row>
      <xdr:rowOff>253365</xdr:rowOff>
    </xdr:from>
    <xdr:to>
      <xdr:col>5</xdr:col>
      <xdr:colOff>1553845</xdr:colOff>
      <xdr:row>18</xdr:row>
      <xdr:rowOff>334645</xdr:rowOff>
    </xdr:to>
    <xdr:sp>
      <xdr:nvSpPr>
        <xdr:cNvPr id="21" name="文本框 20"/>
        <xdr:cNvSpPr txBox="1"/>
      </xdr:nvSpPr>
      <xdr:spPr>
        <a:xfrm rot="20640000">
          <a:off x="8552815" y="4863465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4</xdr:col>
      <xdr:colOff>452755</xdr:colOff>
      <xdr:row>22</xdr:row>
      <xdr:rowOff>90805</xdr:rowOff>
    </xdr:from>
    <xdr:to>
      <xdr:col>5</xdr:col>
      <xdr:colOff>1264285</xdr:colOff>
      <xdr:row>25</xdr:row>
      <xdr:rowOff>248285</xdr:rowOff>
    </xdr:to>
    <xdr:sp>
      <xdr:nvSpPr>
        <xdr:cNvPr id="22" name="文本框 21"/>
        <xdr:cNvSpPr txBox="1"/>
      </xdr:nvSpPr>
      <xdr:spPr>
        <a:xfrm rot="20640000">
          <a:off x="8263255" y="6847205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4</xdr:col>
      <xdr:colOff>453390</xdr:colOff>
      <xdr:row>29</xdr:row>
      <xdr:rowOff>131445</xdr:rowOff>
    </xdr:from>
    <xdr:to>
      <xdr:col>5</xdr:col>
      <xdr:colOff>1264920</xdr:colOff>
      <xdr:row>33</xdr:row>
      <xdr:rowOff>22225</xdr:rowOff>
    </xdr:to>
    <xdr:sp>
      <xdr:nvSpPr>
        <xdr:cNvPr id="23" name="文本框 22"/>
        <xdr:cNvSpPr txBox="1"/>
      </xdr:nvSpPr>
      <xdr:spPr>
        <a:xfrm rot="20640000">
          <a:off x="8263890" y="8665845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4</xdr:col>
      <xdr:colOff>465455</xdr:colOff>
      <xdr:row>38</xdr:row>
      <xdr:rowOff>23495</xdr:rowOff>
    </xdr:from>
    <xdr:to>
      <xdr:col>5</xdr:col>
      <xdr:colOff>1276985</xdr:colOff>
      <xdr:row>41</xdr:row>
      <xdr:rowOff>180975</xdr:rowOff>
    </xdr:to>
    <xdr:sp>
      <xdr:nvSpPr>
        <xdr:cNvPr id="24" name="文本框 23"/>
        <xdr:cNvSpPr txBox="1"/>
      </xdr:nvSpPr>
      <xdr:spPr>
        <a:xfrm rot="20640000">
          <a:off x="8275955" y="10856595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2</xdr:col>
      <xdr:colOff>1207135</xdr:colOff>
      <xdr:row>9</xdr:row>
      <xdr:rowOff>71755</xdr:rowOff>
    </xdr:from>
    <xdr:to>
      <xdr:col>4</xdr:col>
      <xdr:colOff>66040</xdr:colOff>
      <xdr:row>12</xdr:row>
      <xdr:rowOff>229235</xdr:rowOff>
    </xdr:to>
    <xdr:sp>
      <xdr:nvSpPr>
        <xdr:cNvPr id="25" name="文本框 24"/>
        <xdr:cNvSpPr txBox="1"/>
      </xdr:nvSpPr>
      <xdr:spPr>
        <a:xfrm rot="20640000">
          <a:off x="5112385" y="3157855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0</xdr:col>
      <xdr:colOff>71755</xdr:colOff>
      <xdr:row>46</xdr:row>
      <xdr:rowOff>158750</xdr:rowOff>
    </xdr:from>
    <xdr:to>
      <xdr:col>1</xdr:col>
      <xdr:colOff>883285</xdr:colOff>
      <xdr:row>50</xdr:row>
      <xdr:rowOff>62230</xdr:rowOff>
    </xdr:to>
    <xdr:sp>
      <xdr:nvSpPr>
        <xdr:cNvPr id="26" name="文本框 25"/>
        <xdr:cNvSpPr txBox="1"/>
      </xdr:nvSpPr>
      <xdr:spPr>
        <a:xfrm rot="20640000">
          <a:off x="71755" y="1302385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0</xdr:col>
      <xdr:colOff>179705</xdr:colOff>
      <xdr:row>55</xdr:row>
      <xdr:rowOff>170815</xdr:rowOff>
    </xdr:from>
    <xdr:to>
      <xdr:col>1</xdr:col>
      <xdr:colOff>991235</xdr:colOff>
      <xdr:row>59</xdr:row>
      <xdr:rowOff>74295</xdr:rowOff>
    </xdr:to>
    <xdr:sp>
      <xdr:nvSpPr>
        <xdr:cNvPr id="27" name="文本框 26"/>
        <xdr:cNvSpPr txBox="1"/>
      </xdr:nvSpPr>
      <xdr:spPr>
        <a:xfrm rot="20640000">
          <a:off x="179705" y="15321915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0</xdr:col>
      <xdr:colOff>214630</xdr:colOff>
      <xdr:row>65</xdr:row>
      <xdr:rowOff>111125</xdr:rowOff>
    </xdr:from>
    <xdr:to>
      <xdr:col>1</xdr:col>
      <xdr:colOff>1026160</xdr:colOff>
      <xdr:row>69</xdr:row>
      <xdr:rowOff>14605</xdr:rowOff>
    </xdr:to>
    <xdr:sp>
      <xdr:nvSpPr>
        <xdr:cNvPr id="28" name="文本框 27"/>
        <xdr:cNvSpPr txBox="1"/>
      </xdr:nvSpPr>
      <xdr:spPr>
        <a:xfrm rot="20640000">
          <a:off x="214630" y="17802225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0</xdr:col>
      <xdr:colOff>0</xdr:colOff>
      <xdr:row>75</xdr:row>
      <xdr:rowOff>0</xdr:rowOff>
    </xdr:from>
    <xdr:to>
      <xdr:col>1</xdr:col>
      <xdr:colOff>811530</xdr:colOff>
      <xdr:row>78</xdr:row>
      <xdr:rowOff>157480</xdr:rowOff>
    </xdr:to>
    <xdr:sp>
      <xdr:nvSpPr>
        <xdr:cNvPr id="29" name="文本框 28"/>
        <xdr:cNvSpPr txBox="1"/>
      </xdr:nvSpPr>
      <xdr:spPr>
        <a:xfrm rot="20640000">
          <a:off x="0" y="2023110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0</xdr:col>
      <xdr:colOff>71755</xdr:colOff>
      <xdr:row>84</xdr:row>
      <xdr:rowOff>134620</xdr:rowOff>
    </xdr:from>
    <xdr:to>
      <xdr:col>1</xdr:col>
      <xdr:colOff>883285</xdr:colOff>
      <xdr:row>88</xdr:row>
      <xdr:rowOff>38100</xdr:rowOff>
    </xdr:to>
    <xdr:sp>
      <xdr:nvSpPr>
        <xdr:cNvPr id="30" name="文本框 29"/>
        <xdr:cNvSpPr txBox="1"/>
      </xdr:nvSpPr>
      <xdr:spPr>
        <a:xfrm rot="20640000">
          <a:off x="71755" y="2265172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0</xdr:col>
      <xdr:colOff>71755</xdr:colOff>
      <xdr:row>92</xdr:row>
      <xdr:rowOff>229870</xdr:rowOff>
    </xdr:from>
    <xdr:to>
      <xdr:col>1</xdr:col>
      <xdr:colOff>883285</xdr:colOff>
      <xdr:row>96</xdr:row>
      <xdr:rowOff>133350</xdr:rowOff>
    </xdr:to>
    <xdr:sp>
      <xdr:nvSpPr>
        <xdr:cNvPr id="31" name="文本框 30"/>
        <xdr:cNvSpPr txBox="1"/>
      </xdr:nvSpPr>
      <xdr:spPr>
        <a:xfrm rot="20640000">
          <a:off x="71755" y="2477897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0</xdr:col>
      <xdr:colOff>72390</xdr:colOff>
      <xdr:row>101</xdr:row>
      <xdr:rowOff>217805</xdr:rowOff>
    </xdr:from>
    <xdr:to>
      <xdr:col>1</xdr:col>
      <xdr:colOff>883920</xdr:colOff>
      <xdr:row>105</xdr:row>
      <xdr:rowOff>121285</xdr:rowOff>
    </xdr:to>
    <xdr:sp>
      <xdr:nvSpPr>
        <xdr:cNvPr id="32" name="文本框 31"/>
        <xdr:cNvSpPr txBox="1"/>
      </xdr:nvSpPr>
      <xdr:spPr>
        <a:xfrm rot="20640000">
          <a:off x="72390" y="27052905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0</xdr:col>
      <xdr:colOff>107315</xdr:colOff>
      <xdr:row>110</xdr:row>
      <xdr:rowOff>217170</xdr:rowOff>
    </xdr:from>
    <xdr:to>
      <xdr:col>1</xdr:col>
      <xdr:colOff>918845</xdr:colOff>
      <xdr:row>114</xdr:row>
      <xdr:rowOff>120650</xdr:rowOff>
    </xdr:to>
    <xdr:sp>
      <xdr:nvSpPr>
        <xdr:cNvPr id="33" name="文本框 32"/>
        <xdr:cNvSpPr txBox="1"/>
      </xdr:nvSpPr>
      <xdr:spPr>
        <a:xfrm rot="20640000">
          <a:off x="107315" y="2933827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1</xdr:col>
      <xdr:colOff>1306195</xdr:colOff>
      <xdr:row>47</xdr:row>
      <xdr:rowOff>91440</xdr:rowOff>
    </xdr:from>
    <xdr:to>
      <xdr:col>3</xdr:col>
      <xdr:colOff>165100</xdr:colOff>
      <xdr:row>50</xdr:row>
      <xdr:rowOff>248920</xdr:rowOff>
    </xdr:to>
    <xdr:sp>
      <xdr:nvSpPr>
        <xdr:cNvPr id="34" name="文本框 33"/>
        <xdr:cNvSpPr txBox="1"/>
      </xdr:nvSpPr>
      <xdr:spPr>
        <a:xfrm rot="20640000">
          <a:off x="3258820" y="1321054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1</xdr:col>
      <xdr:colOff>1414145</xdr:colOff>
      <xdr:row>56</xdr:row>
      <xdr:rowOff>103505</xdr:rowOff>
    </xdr:from>
    <xdr:to>
      <xdr:col>3</xdr:col>
      <xdr:colOff>273050</xdr:colOff>
      <xdr:row>60</xdr:row>
      <xdr:rowOff>6985</xdr:rowOff>
    </xdr:to>
    <xdr:sp>
      <xdr:nvSpPr>
        <xdr:cNvPr id="35" name="文本框 34"/>
        <xdr:cNvSpPr txBox="1"/>
      </xdr:nvSpPr>
      <xdr:spPr>
        <a:xfrm rot="20640000">
          <a:off x="3366770" y="15508605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1</xdr:col>
      <xdr:colOff>1449070</xdr:colOff>
      <xdr:row>66</xdr:row>
      <xdr:rowOff>47625</xdr:rowOff>
    </xdr:from>
    <xdr:to>
      <xdr:col>3</xdr:col>
      <xdr:colOff>307975</xdr:colOff>
      <xdr:row>69</xdr:row>
      <xdr:rowOff>205105</xdr:rowOff>
    </xdr:to>
    <xdr:sp>
      <xdr:nvSpPr>
        <xdr:cNvPr id="36" name="文本框 35"/>
        <xdr:cNvSpPr txBox="1"/>
      </xdr:nvSpPr>
      <xdr:spPr>
        <a:xfrm rot="20640000">
          <a:off x="3401695" y="17992725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1</xdr:col>
      <xdr:colOff>1234440</xdr:colOff>
      <xdr:row>75</xdr:row>
      <xdr:rowOff>186690</xdr:rowOff>
    </xdr:from>
    <xdr:to>
      <xdr:col>3</xdr:col>
      <xdr:colOff>93345</xdr:colOff>
      <xdr:row>79</xdr:row>
      <xdr:rowOff>90170</xdr:rowOff>
    </xdr:to>
    <xdr:sp>
      <xdr:nvSpPr>
        <xdr:cNvPr id="37" name="文本框 36"/>
        <xdr:cNvSpPr txBox="1"/>
      </xdr:nvSpPr>
      <xdr:spPr>
        <a:xfrm rot="20640000">
          <a:off x="3187065" y="2041779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1</xdr:col>
      <xdr:colOff>1306195</xdr:colOff>
      <xdr:row>85</xdr:row>
      <xdr:rowOff>71120</xdr:rowOff>
    </xdr:from>
    <xdr:to>
      <xdr:col>3</xdr:col>
      <xdr:colOff>165100</xdr:colOff>
      <xdr:row>88</xdr:row>
      <xdr:rowOff>228600</xdr:rowOff>
    </xdr:to>
    <xdr:sp>
      <xdr:nvSpPr>
        <xdr:cNvPr id="38" name="文本框 37"/>
        <xdr:cNvSpPr txBox="1"/>
      </xdr:nvSpPr>
      <xdr:spPr>
        <a:xfrm rot="20640000">
          <a:off x="3258820" y="2284222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1</xdr:col>
      <xdr:colOff>1306195</xdr:colOff>
      <xdr:row>93</xdr:row>
      <xdr:rowOff>162560</xdr:rowOff>
    </xdr:from>
    <xdr:to>
      <xdr:col>3</xdr:col>
      <xdr:colOff>165100</xdr:colOff>
      <xdr:row>97</xdr:row>
      <xdr:rowOff>66040</xdr:rowOff>
    </xdr:to>
    <xdr:sp>
      <xdr:nvSpPr>
        <xdr:cNvPr id="39" name="文本框 38"/>
        <xdr:cNvSpPr txBox="1"/>
      </xdr:nvSpPr>
      <xdr:spPr>
        <a:xfrm rot="20640000">
          <a:off x="3258820" y="2496566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1</xdr:col>
      <xdr:colOff>1306830</xdr:colOff>
      <xdr:row>102</xdr:row>
      <xdr:rowOff>149860</xdr:rowOff>
    </xdr:from>
    <xdr:to>
      <xdr:col>3</xdr:col>
      <xdr:colOff>165735</xdr:colOff>
      <xdr:row>106</xdr:row>
      <xdr:rowOff>53340</xdr:rowOff>
    </xdr:to>
    <xdr:sp>
      <xdr:nvSpPr>
        <xdr:cNvPr id="40" name="文本框 39"/>
        <xdr:cNvSpPr txBox="1"/>
      </xdr:nvSpPr>
      <xdr:spPr>
        <a:xfrm rot="20640000">
          <a:off x="3259455" y="2723896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1</xdr:col>
      <xdr:colOff>1341755</xdr:colOff>
      <xdr:row>111</xdr:row>
      <xdr:rowOff>149860</xdr:rowOff>
    </xdr:from>
    <xdr:to>
      <xdr:col>3</xdr:col>
      <xdr:colOff>200660</xdr:colOff>
      <xdr:row>115</xdr:row>
      <xdr:rowOff>53340</xdr:rowOff>
    </xdr:to>
    <xdr:sp>
      <xdr:nvSpPr>
        <xdr:cNvPr id="41" name="文本框 40"/>
        <xdr:cNvSpPr txBox="1"/>
      </xdr:nvSpPr>
      <xdr:spPr>
        <a:xfrm rot="20640000">
          <a:off x="3294380" y="2952496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4</xdr:col>
      <xdr:colOff>207010</xdr:colOff>
      <xdr:row>46</xdr:row>
      <xdr:rowOff>110490</xdr:rowOff>
    </xdr:from>
    <xdr:to>
      <xdr:col>5</xdr:col>
      <xdr:colOff>1018540</xdr:colOff>
      <xdr:row>50</xdr:row>
      <xdr:rowOff>13970</xdr:rowOff>
    </xdr:to>
    <xdr:sp>
      <xdr:nvSpPr>
        <xdr:cNvPr id="42" name="文本框 41"/>
        <xdr:cNvSpPr txBox="1"/>
      </xdr:nvSpPr>
      <xdr:spPr>
        <a:xfrm rot="20640000">
          <a:off x="8017510" y="1297559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4</xdr:col>
      <xdr:colOff>314960</xdr:colOff>
      <xdr:row>55</xdr:row>
      <xdr:rowOff>123190</xdr:rowOff>
    </xdr:from>
    <xdr:to>
      <xdr:col>5</xdr:col>
      <xdr:colOff>1126490</xdr:colOff>
      <xdr:row>59</xdr:row>
      <xdr:rowOff>26670</xdr:rowOff>
    </xdr:to>
    <xdr:sp>
      <xdr:nvSpPr>
        <xdr:cNvPr id="43" name="文本框 42"/>
        <xdr:cNvSpPr txBox="1"/>
      </xdr:nvSpPr>
      <xdr:spPr>
        <a:xfrm rot="20640000">
          <a:off x="8125460" y="1527429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4</xdr:col>
      <xdr:colOff>222885</xdr:colOff>
      <xdr:row>64</xdr:row>
      <xdr:rowOff>186055</xdr:rowOff>
    </xdr:from>
    <xdr:to>
      <xdr:col>5</xdr:col>
      <xdr:colOff>1034415</xdr:colOff>
      <xdr:row>68</xdr:row>
      <xdr:rowOff>89535</xdr:rowOff>
    </xdr:to>
    <xdr:sp>
      <xdr:nvSpPr>
        <xdr:cNvPr id="44" name="文本框 43"/>
        <xdr:cNvSpPr txBox="1"/>
      </xdr:nvSpPr>
      <xdr:spPr>
        <a:xfrm rot="20640000">
          <a:off x="8033385" y="17623155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4</xdr:col>
      <xdr:colOff>135255</xdr:colOff>
      <xdr:row>74</xdr:row>
      <xdr:rowOff>201930</xdr:rowOff>
    </xdr:from>
    <xdr:to>
      <xdr:col>5</xdr:col>
      <xdr:colOff>946785</xdr:colOff>
      <xdr:row>78</xdr:row>
      <xdr:rowOff>105410</xdr:rowOff>
    </xdr:to>
    <xdr:sp>
      <xdr:nvSpPr>
        <xdr:cNvPr id="45" name="文本框 44"/>
        <xdr:cNvSpPr txBox="1"/>
      </xdr:nvSpPr>
      <xdr:spPr>
        <a:xfrm rot="20640000">
          <a:off x="7945755" y="2017903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4</xdr:col>
      <xdr:colOff>80010</xdr:colOff>
      <xdr:row>83</xdr:row>
      <xdr:rowOff>210185</xdr:rowOff>
    </xdr:from>
    <xdr:to>
      <xdr:col>5</xdr:col>
      <xdr:colOff>891540</xdr:colOff>
      <xdr:row>87</xdr:row>
      <xdr:rowOff>113665</xdr:rowOff>
    </xdr:to>
    <xdr:sp>
      <xdr:nvSpPr>
        <xdr:cNvPr id="46" name="文本框 45"/>
        <xdr:cNvSpPr txBox="1"/>
      </xdr:nvSpPr>
      <xdr:spPr>
        <a:xfrm rot="20640000">
          <a:off x="7890510" y="22473285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4</xdr:col>
      <xdr:colOff>207010</xdr:colOff>
      <xdr:row>92</xdr:row>
      <xdr:rowOff>177800</xdr:rowOff>
    </xdr:from>
    <xdr:to>
      <xdr:col>5</xdr:col>
      <xdr:colOff>1018540</xdr:colOff>
      <xdr:row>96</xdr:row>
      <xdr:rowOff>81280</xdr:rowOff>
    </xdr:to>
    <xdr:sp>
      <xdr:nvSpPr>
        <xdr:cNvPr id="47" name="文本框 46"/>
        <xdr:cNvSpPr txBox="1"/>
      </xdr:nvSpPr>
      <xdr:spPr>
        <a:xfrm rot="20640000">
          <a:off x="8017510" y="2472690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4</xdr:col>
      <xdr:colOff>80645</xdr:colOff>
      <xdr:row>101</xdr:row>
      <xdr:rowOff>41910</xdr:rowOff>
    </xdr:from>
    <xdr:to>
      <xdr:col>5</xdr:col>
      <xdr:colOff>892175</xdr:colOff>
      <xdr:row>104</xdr:row>
      <xdr:rowOff>199390</xdr:rowOff>
    </xdr:to>
    <xdr:sp>
      <xdr:nvSpPr>
        <xdr:cNvPr id="48" name="文本框 47"/>
        <xdr:cNvSpPr txBox="1"/>
      </xdr:nvSpPr>
      <xdr:spPr>
        <a:xfrm rot="20640000">
          <a:off x="7891145" y="2687701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4</xdr:col>
      <xdr:colOff>242570</xdr:colOff>
      <xdr:row>110</xdr:row>
      <xdr:rowOff>165100</xdr:rowOff>
    </xdr:from>
    <xdr:to>
      <xdr:col>5</xdr:col>
      <xdr:colOff>1054100</xdr:colOff>
      <xdr:row>114</xdr:row>
      <xdr:rowOff>68580</xdr:rowOff>
    </xdr:to>
    <xdr:sp>
      <xdr:nvSpPr>
        <xdr:cNvPr id="49" name="文本框 48"/>
        <xdr:cNvSpPr txBox="1"/>
      </xdr:nvSpPr>
      <xdr:spPr>
        <a:xfrm rot="20640000">
          <a:off x="8053070" y="2928620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699135</xdr:colOff>
      <xdr:row>4</xdr:row>
      <xdr:rowOff>40005</xdr:rowOff>
    </xdr:from>
    <xdr:to>
      <xdr:col>1</xdr:col>
      <xdr:colOff>777240</xdr:colOff>
      <xdr:row>7</xdr:row>
      <xdr:rowOff>197485</xdr:rowOff>
    </xdr:to>
    <xdr:sp>
      <xdr:nvSpPr>
        <xdr:cNvPr id="4" name="文本框 3"/>
        <xdr:cNvSpPr txBox="1"/>
      </xdr:nvSpPr>
      <xdr:spPr>
        <a:xfrm rot="20640000">
          <a:off x="699135" y="1170305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0</xdr:col>
      <xdr:colOff>626745</xdr:colOff>
      <xdr:row>9</xdr:row>
      <xdr:rowOff>75565</xdr:rowOff>
    </xdr:from>
    <xdr:to>
      <xdr:col>1</xdr:col>
      <xdr:colOff>704850</xdr:colOff>
      <xdr:row>12</xdr:row>
      <xdr:rowOff>233045</xdr:rowOff>
    </xdr:to>
    <xdr:sp>
      <xdr:nvSpPr>
        <xdr:cNvPr id="5" name="文本框 4"/>
        <xdr:cNvSpPr txBox="1"/>
      </xdr:nvSpPr>
      <xdr:spPr>
        <a:xfrm rot="20640000">
          <a:off x="626745" y="2475865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0</xdr:col>
      <xdr:colOff>361315</xdr:colOff>
      <xdr:row>17</xdr:row>
      <xdr:rowOff>153670</xdr:rowOff>
    </xdr:from>
    <xdr:to>
      <xdr:col>1</xdr:col>
      <xdr:colOff>439420</xdr:colOff>
      <xdr:row>21</xdr:row>
      <xdr:rowOff>57150</xdr:rowOff>
    </xdr:to>
    <xdr:sp>
      <xdr:nvSpPr>
        <xdr:cNvPr id="14" name="文本框 13"/>
        <xdr:cNvSpPr txBox="1"/>
      </xdr:nvSpPr>
      <xdr:spPr>
        <a:xfrm rot="20640000">
          <a:off x="361315" y="458597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0</xdr:col>
      <xdr:colOff>71755</xdr:colOff>
      <xdr:row>25</xdr:row>
      <xdr:rowOff>105410</xdr:rowOff>
    </xdr:from>
    <xdr:to>
      <xdr:col>1</xdr:col>
      <xdr:colOff>149860</xdr:colOff>
      <xdr:row>29</xdr:row>
      <xdr:rowOff>8890</xdr:rowOff>
    </xdr:to>
    <xdr:sp>
      <xdr:nvSpPr>
        <xdr:cNvPr id="15" name="文本框 14"/>
        <xdr:cNvSpPr txBox="1"/>
      </xdr:nvSpPr>
      <xdr:spPr>
        <a:xfrm rot="20640000">
          <a:off x="71755" y="656971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0</xdr:col>
      <xdr:colOff>72390</xdr:colOff>
      <xdr:row>32</xdr:row>
      <xdr:rowOff>145415</xdr:rowOff>
    </xdr:from>
    <xdr:to>
      <xdr:col>1</xdr:col>
      <xdr:colOff>150495</xdr:colOff>
      <xdr:row>36</xdr:row>
      <xdr:rowOff>48895</xdr:rowOff>
    </xdr:to>
    <xdr:sp>
      <xdr:nvSpPr>
        <xdr:cNvPr id="16" name="文本框 15"/>
        <xdr:cNvSpPr txBox="1"/>
      </xdr:nvSpPr>
      <xdr:spPr>
        <a:xfrm rot="20640000">
          <a:off x="72390" y="8387715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0</xdr:col>
      <xdr:colOff>84455</xdr:colOff>
      <xdr:row>41</xdr:row>
      <xdr:rowOff>50800</xdr:rowOff>
    </xdr:from>
    <xdr:to>
      <xdr:col>1</xdr:col>
      <xdr:colOff>162560</xdr:colOff>
      <xdr:row>44</xdr:row>
      <xdr:rowOff>208280</xdr:rowOff>
    </xdr:to>
    <xdr:sp>
      <xdr:nvSpPr>
        <xdr:cNvPr id="17" name="文本框 16"/>
        <xdr:cNvSpPr txBox="1"/>
      </xdr:nvSpPr>
      <xdr:spPr>
        <a:xfrm rot="20640000">
          <a:off x="84455" y="1057910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2</xdr:col>
      <xdr:colOff>480695</xdr:colOff>
      <xdr:row>4</xdr:row>
      <xdr:rowOff>214630</xdr:rowOff>
    </xdr:from>
    <xdr:to>
      <xdr:col>4</xdr:col>
      <xdr:colOff>6350</xdr:colOff>
      <xdr:row>8</xdr:row>
      <xdr:rowOff>118110</xdr:rowOff>
    </xdr:to>
    <xdr:sp>
      <xdr:nvSpPr>
        <xdr:cNvPr id="18" name="文本框 17"/>
        <xdr:cNvSpPr txBox="1"/>
      </xdr:nvSpPr>
      <xdr:spPr>
        <a:xfrm rot="20640000">
          <a:off x="4147820" y="134493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2</xdr:col>
      <xdr:colOff>408305</xdr:colOff>
      <xdr:row>9</xdr:row>
      <xdr:rowOff>250190</xdr:rowOff>
    </xdr:from>
    <xdr:to>
      <xdr:col>3</xdr:col>
      <xdr:colOff>1511300</xdr:colOff>
      <xdr:row>13</xdr:row>
      <xdr:rowOff>153670</xdr:rowOff>
    </xdr:to>
    <xdr:sp>
      <xdr:nvSpPr>
        <xdr:cNvPr id="19" name="文本框 18"/>
        <xdr:cNvSpPr txBox="1"/>
      </xdr:nvSpPr>
      <xdr:spPr>
        <a:xfrm rot="20640000">
          <a:off x="4075430" y="2650490"/>
          <a:ext cx="272224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2</xdr:col>
      <xdr:colOff>142875</xdr:colOff>
      <xdr:row>18</xdr:row>
      <xdr:rowOff>73025</xdr:rowOff>
    </xdr:from>
    <xdr:to>
      <xdr:col>3</xdr:col>
      <xdr:colOff>1287780</xdr:colOff>
      <xdr:row>21</xdr:row>
      <xdr:rowOff>230505</xdr:rowOff>
    </xdr:to>
    <xdr:sp>
      <xdr:nvSpPr>
        <xdr:cNvPr id="20" name="文本框 19"/>
        <xdr:cNvSpPr txBox="1"/>
      </xdr:nvSpPr>
      <xdr:spPr>
        <a:xfrm rot="20640000">
          <a:off x="3810000" y="4759325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1</xdr:col>
      <xdr:colOff>829310</xdr:colOff>
      <xdr:row>26</xdr:row>
      <xdr:rowOff>29210</xdr:rowOff>
    </xdr:from>
    <xdr:to>
      <xdr:col>3</xdr:col>
      <xdr:colOff>993140</xdr:colOff>
      <xdr:row>29</xdr:row>
      <xdr:rowOff>186690</xdr:rowOff>
    </xdr:to>
    <xdr:sp>
      <xdr:nvSpPr>
        <xdr:cNvPr id="21" name="文本框 20"/>
        <xdr:cNvSpPr txBox="1"/>
      </xdr:nvSpPr>
      <xdr:spPr>
        <a:xfrm rot="20640000">
          <a:off x="3515360" y="674751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1</xdr:col>
      <xdr:colOff>829945</xdr:colOff>
      <xdr:row>33</xdr:row>
      <xdr:rowOff>66040</xdr:rowOff>
    </xdr:from>
    <xdr:to>
      <xdr:col>3</xdr:col>
      <xdr:colOff>993775</xdr:colOff>
      <xdr:row>36</xdr:row>
      <xdr:rowOff>223520</xdr:rowOff>
    </xdr:to>
    <xdr:sp>
      <xdr:nvSpPr>
        <xdr:cNvPr id="22" name="文本框 21"/>
        <xdr:cNvSpPr txBox="1"/>
      </xdr:nvSpPr>
      <xdr:spPr>
        <a:xfrm rot="20640000">
          <a:off x="3515995" y="856234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1</xdr:col>
      <xdr:colOff>842010</xdr:colOff>
      <xdr:row>41</xdr:row>
      <xdr:rowOff>225425</xdr:rowOff>
    </xdr:from>
    <xdr:to>
      <xdr:col>3</xdr:col>
      <xdr:colOff>1005840</xdr:colOff>
      <xdr:row>45</xdr:row>
      <xdr:rowOff>128905</xdr:rowOff>
    </xdr:to>
    <xdr:sp>
      <xdr:nvSpPr>
        <xdr:cNvPr id="23" name="文本框 22"/>
        <xdr:cNvSpPr txBox="1"/>
      </xdr:nvSpPr>
      <xdr:spPr>
        <a:xfrm rot="20640000">
          <a:off x="3528060" y="10753725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6</xdr:col>
      <xdr:colOff>868045</xdr:colOff>
      <xdr:row>4</xdr:row>
      <xdr:rowOff>58420</xdr:rowOff>
    </xdr:from>
    <xdr:to>
      <xdr:col>7</xdr:col>
      <xdr:colOff>915670</xdr:colOff>
      <xdr:row>7</xdr:row>
      <xdr:rowOff>215900</xdr:rowOff>
    </xdr:to>
    <xdr:sp>
      <xdr:nvSpPr>
        <xdr:cNvPr id="24" name="文本框 23"/>
        <xdr:cNvSpPr txBox="1"/>
      </xdr:nvSpPr>
      <xdr:spPr>
        <a:xfrm rot="20640000">
          <a:off x="9621520" y="1188720"/>
          <a:ext cx="273367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6</xdr:col>
      <xdr:colOff>795655</xdr:colOff>
      <xdr:row>9</xdr:row>
      <xdr:rowOff>94615</xdr:rowOff>
    </xdr:from>
    <xdr:to>
      <xdr:col>7</xdr:col>
      <xdr:colOff>873760</xdr:colOff>
      <xdr:row>12</xdr:row>
      <xdr:rowOff>252095</xdr:rowOff>
    </xdr:to>
    <xdr:sp>
      <xdr:nvSpPr>
        <xdr:cNvPr id="25" name="文本框 24"/>
        <xdr:cNvSpPr txBox="1"/>
      </xdr:nvSpPr>
      <xdr:spPr>
        <a:xfrm rot="20640000">
          <a:off x="9549130" y="2494915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6</xdr:col>
      <xdr:colOff>530225</xdr:colOff>
      <xdr:row>17</xdr:row>
      <xdr:rowOff>168275</xdr:rowOff>
    </xdr:from>
    <xdr:to>
      <xdr:col>7</xdr:col>
      <xdr:colOff>608330</xdr:colOff>
      <xdr:row>21</xdr:row>
      <xdr:rowOff>71755</xdr:rowOff>
    </xdr:to>
    <xdr:sp>
      <xdr:nvSpPr>
        <xdr:cNvPr id="26" name="文本框 25"/>
        <xdr:cNvSpPr txBox="1"/>
      </xdr:nvSpPr>
      <xdr:spPr>
        <a:xfrm rot="20640000">
          <a:off x="9283700" y="4600575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6</xdr:col>
      <xdr:colOff>245745</xdr:colOff>
      <xdr:row>25</xdr:row>
      <xdr:rowOff>120015</xdr:rowOff>
    </xdr:from>
    <xdr:to>
      <xdr:col>7</xdr:col>
      <xdr:colOff>323850</xdr:colOff>
      <xdr:row>29</xdr:row>
      <xdr:rowOff>23495</xdr:rowOff>
    </xdr:to>
    <xdr:sp>
      <xdr:nvSpPr>
        <xdr:cNvPr id="27" name="文本框 26"/>
        <xdr:cNvSpPr txBox="1"/>
      </xdr:nvSpPr>
      <xdr:spPr>
        <a:xfrm rot="20640000">
          <a:off x="8999220" y="6584315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6</xdr:col>
      <xdr:colOff>373380</xdr:colOff>
      <xdr:row>33</xdr:row>
      <xdr:rowOff>37465</xdr:rowOff>
    </xdr:from>
    <xdr:to>
      <xdr:col>7</xdr:col>
      <xdr:colOff>451485</xdr:colOff>
      <xdr:row>36</xdr:row>
      <xdr:rowOff>194945</xdr:rowOff>
    </xdr:to>
    <xdr:sp>
      <xdr:nvSpPr>
        <xdr:cNvPr id="28" name="文本框 27"/>
        <xdr:cNvSpPr txBox="1"/>
      </xdr:nvSpPr>
      <xdr:spPr>
        <a:xfrm rot="20640000">
          <a:off x="9126855" y="8533765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6</xdr:col>
      <xdr:colOff>385445</xdr:colOff>
      <xdr:row>41</xdr:row>
      <xdr:rowOff>192405</xdr:rowOff>
    </xdr:from>
    <xdr:to>
      <xdr:col>7</xdr:col>
      <xdr:colOff>463550</xdr:colOff>
      <xdr:row>45</xdr:row>
      <xdr:rowOff>95885</xdr:rowOff>
    </xdr:to>
    <xdr:sp>
      <xdr:nvSpPr>
        <xdr:cNvPr id="29" name="文本框 28"/>
        <xdr:cNvSpPr txBox="1"/>
      </xdr:nvSpPr>
      <xdr:spPr>
        <a:xfrm rot="20640000">
          <a:off x="9138920" y="10720705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8</xdr:col>
      <xdr:colOff>1087755</xdr:colOff>
      <xdr:row>4</xdr:row>
      <xdr:rowOff>46355</xdr:rowOff>
    </xdr:from>
    <xdr:to>
      <xdr:col>10</xdr:col>
      <xdr:colOff>613410</xdr:colOff>
      <xdr:row>7</xdr:row>
      <xdr:rowOff>203835</xdr:rowOff>
    </xdr:to>
    <xdr:sp>
      <xdr:nvSpPr>
        <xdr:cNvPr id="30" name="文本框 29"/>
        <xdr:cNvSpPr txBox="1"/>
      </xdr:nvSpPr>
      <xdr:spPr>
        <a:xfrm rot="20640000">
          <a:off x="13508355" y="1176655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8</xdr:col>
      <xdr:colOff>1015365</xdr:colOff>
      <xdr:row>9</xdr:row>
      <xdr:rowOff>82550</xdr:rowOff>
    </xdr:from>
    <xdr:to>
      <xdr:col>10</xdr:col>
      <xdr:colOff>541020</xdr:colOff>
      <xdr:row>12</xdr:row>
      <xdr:rowOff>240030</xdr:rowOff>
    </xdr:to>
    <xdr:sp>
      <xdr:nvSpPr>
        <xdr:cNvPr id="31" name="文本框 30"/>
        <xdr:cNvSpPr txBox="1"/>
      </xdr:nvSpPr>
      <xdr:spPr>
        <a:xfrm rot="20640000">
          <a:off x="13435965" y="248285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8</xdr:col>
      <xdr:colOff>749935</xdr:colOff>
      <xdr:row>17</xdr:row>
      <xdr:rowOff>160655</xdr:rowOff>
    </xdr:from>
    <xdr:to>
      <xdr:col>10</xdr:col>
      <xdr:colOff>275590</xdr:colOff>
      <xdr:row>21</xdr:row>
      <xdr:rowOff>64135</xdr:rowOff>
    </xdr:to>
    <xdr:sp>
      <xdr:nvSpPr>
        <xdr:cNvPr id="32" name="文本框 31"/>
        <xdr:cNvSpPr txBox="1"/>
      </xdr:nvSpPr>
      <xdr:spPr>
        <a:xfrm rot="20640000">
          <a:off x="13170535" y="4592955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8</xdr:col>
      <xdr:colOff>460375</xdr:colOff>
      <xdr:row>25</xdr:row>
      <xdr:rowOff>112395</xdr:rowOff>
    </xdr:from>
    <xdr:to>
      <xdr:col>9</xdr:col>
      <xdr:colOff>1511300</xdr:colOff>
      <xdr:row>29</xdr:row>
      <xdr:rowOff>15875</xdr:rowOff>
    </xdr:to>
    <xdr:sp>
      <xdr:nvSpPr>
        <xdr:cNvPr id="33" name="文本框 32"/>
        <xdr:cNvSpPr txBox="1"/>
      </xdr:nvSpPr>
      <xdr:spPr>
        <a:xfrm rot="20640000">
          <a:off x="12880975" y="6576695"/>
          <a:ext cx="267017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8</xdr:col>
      <xdr:colOff>461010</xdr:colOff>
      <xdr:row>32</xdr:row>
      <xdr:rowOff>152400</xdr:rowOff>
    </xdr:from>
    <xdr:to>
      <xdr:col>9</xdr:col>
      <xdr:colOff>1511300</xdr:colOff>
      <xdr:row>36</xdr:row>
      <xdr:rowOff>55880</xdr:rowOff>
    </xdr:to>
    <xdr:sp>
      <xdr:nvSpPr>
        <xdr:cNvPr id="34" name="文本框 33"/>
        <xdr:cNvSpPr txBox="1"/>
      </xdr:nvSpPr>
      <xdr:spPr>
        <a:xfrm rot="20640000">
          <a:off x="12881610" y="8394700"/>
          <a:ext cx="2669540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8</xdr:col>
      <xdr:colOff>473075</xdr:colOff>
      <xdr:row>41</xdr:row>
      <xdr:rowOff>61595</xdr:rowOff>
    </xdr:from>
    <xdr:to>
      <xdr:col>9</xdr:col>
      <xdr:colOff>1511300</xdr:colOff>
      <xdr:row>44</xdr:row>
      <xdr:rowOff>219075</xdr:rowOff>
    </xdr:to>
    <xdr:sp>
      <xdr:nvSpPr>
        <xdr:cNvPr id="35" name="文本框 34"/>
        <xdr:cNvSpPr txBox="1"/>
      </xdr:nvSpPr>
      <xdr:spPr>
        <a:xfrm rot="20640000">
          <a:off x="12893675" y="10589895"/>
          <a:ext cx="265747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841375</xdr:colOff>
      <xdr:row>2</xdr:row>
      <xdr:rowOff>131445</xdr:rowOff>
    </xdr:from>
    <xdr:to>
      <xdr:col>6</xdr:col>
      <xdr:colOff>509905</xdr:colOff>
      <xdr:row>6</xdr:row>
      <xdr:rowOff>34925</xdr:rowOff>
    </xdr:to>
    <xdr:sp>
      <xdr:nvSpPr>
        <xdr:cNvPr id="3" name="文本框 2"/>
        <xdr:cNvSpPr txBox="1"/>
      </xdr:nvSpPr>
      <xdr:spPr>
        <a:xfrm rot="20640000">
          <a:off x="5394325" y="817245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4</xdr:col>
      <xdr:colOff>774065</xdr:colOff>
      <xdr:row>7</xdr:row>
      <xdr:rowOff>170180</xdr:rowOff>
    </xdr:from>
    <xdr:to>
      <xdr:col>6</xdr:col>
      <xdr:colOff>442595</xdr:colOff>
      <xdr:row>11</xdr:row>
      <xdr:rowOff>73660</xdr:rowOff>
    </xdr:to>
    <xdr:sp>
      <xdr:nvSpPr>
        <xdr:cNvPr id="4" name="文本框 3"/>
        <xdr:cNvSpPr txBox="1"/>
      </xdr:nvSpPr>
      <xdr:spPr>
        <a:xfrm rot="20640000">
          <a:off x="5327015" y="212598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0</xdr:col>
      <xdr:colOff>599440</xdr:colOff>
      <xdr:row>2</xdr:row>
      <xdr:rowOff>104140</xdr:rowOff>
    </xdr:from>
    <xdr:to>
      <xdr:col>2</xdr:col>
      <xdr:colOff>267970</xdr:colOff>
      <xdr:row>6</xdr:row>
      <xdr:rowOff>7620</xdr:rowOff>
    </xdr:to>
    <xdr:sp>
      <xdr:nvSpPr>
        <xdr:cNvPr id="5" name="文本框 4"/>
        <xdr:cNvSpPr txBox="1"/>
      </xdr:nvSpPr>
      <xdr:spPr>
        <a:xfrm rot="20640000">
          <a:off x="599440" y="789940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  <xdr:twoCellAnchor>
    <xdr:from>
      <xdr:col>0</xdr:col>
      <xdr:colOff>532130</xdr:colOff>
      <xdr:row>7</xdr:row>
      <xdr:rowOff>137795</xdr:rowOff>
    </xdr:from>
    <xdr:to>
      <xdr:col>2</xdr:col>
      <xdr:colOff>200660</xdr:colOff>
      <xdr:row>11</xdr:row>
      <xdr:rowOff>41275</xdr:rowOff>
    </xdr:to>
    <xdr:sp>
      <xdr:nvSpPr>
        <xdr:cNvPr id="6" name="文本框 5"/>
        <xdr:cNvSpPr txBox="1"/>
      </xdr:nvSpPr>
      <xdr:spPr>
        <a:xfrm rot="20640000">
          <a:off x="532130" y="2093595"/>
          <a:ext cx="2764155" cy="919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CREAMPUFF</a:t>
          </a:r>
          <a:r>
            <a:rPr lang="zh-CN" altLang="en-US" sz="1000">
              <a:ln>
                <a:noFill/>
              </a:ln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宠物</a:t>
          </a:r>
          <a:r>
            <a:rPr lang="zh-CN" altLang="en-US" sz="1000">
              <a:solidFill>
                <a:schemeClr val="bg1">
                  <a:lumMod val="85000"/>
                </a:schemeClr>
              </a:solidFill>
              <a:latin typeface="微软雅黑" charset="-122"/>
              <a:ea typeface="微软雅黑" charset="-122"/>
              <a:cs typeface="微软雅黑" charset="-122"/>
            </a:rPr>
            <a:t>烘焙系列课程</a:t>
          </a:r>
          <a:endParaRPr lang="zh-CN" altLang="en-US" sz="1000">
            <a:solidFill>
              <a:schemeClr val="bg1">
                <a:lumMod val="85000"/>
              </a:schemeClr>
            </a:solidFill>
            <a:latin typeface="微软雅黑" charset="-122"/>
            <a:ea typeface="微软雅黑" charset="-122"/>
            <a:cs typeface="微软雅黑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7"/>
  <sheetViews>
    <sheetView showGridLines="0" tabSelected="1" zoomScale="37" zoomScaleNormal="37" workbookViewId="0">
      <selection activeCell="G19" sqref="G19"/>
    </sheetView>
  </sheetViews>
  <sheetFormatPr defaultColWidth="9.64166666666667" defaultRowHeight="20" customHeight="1" outlineLevelCol="6"/>
  <cols>
    <col min="1" max="7" width="25.625" style="5" customWidth="1"/>
    <col min="8" max="16384" width="9" style="5"/>
  </cols>
  <sheetData>
    <row r="1" ht="30" customHeight="1" spans="1:7">
      <c r="A1" s="58" t="s">
        <v>0</v>
      </c>
      <c r="B1" s="58"/>
      <c r="C1" s="58"/>
      <c r="D1" s="58"/>
      <c r="E1" s="58"/>
      <c r="F1" s="58"/>
      <c r="G1" s="58"/>
    </row>
    <row r="2" customHeight="1" spans="1:7">
      <c r="A2" s="59" t="s">
        <v>1</v>
      </c>
      <c r="B2" s="60" t="s">
        <v>2</v>
      </c>
      <c r="C2" s="61" t="s">
        <v>3</v>
      </c>
      <c r="D2" s="16"/>
      <c r="E2" s="59" t="s">
        <v>1</v>
      </c>
      <c r="F2" s="60" t="s">
        <v>2</v>
      </c>
      <c r="G2" s="61" t="s">
        <v>3</v>
      </c>
    </row>
    <row r="3" ht="30" customHeight="1" spans="1:7">
      <c r="A3" s="62" t="s">
        <v>4</v>
      </c>
      <c r="B3" s="63">
        <v>36</v>
      </c>
      <c r="C3" s="64">
        <f>ROUND((30*B3+70)*VLOOKUP(A3,宠物情况!A:C,3,0)*0.75,0)</f>
        <v>1121</v>
      </c>
      <c r="E3" s="62" t="s">
        <v>5</v>
      </c>
      <c r="F3" s="63">
        <v>20</v>
      </c>
      <c r="G3" s="64">
        <f>F3*1000*VLOOKUP(E3,宠物情况!E:G,3,0)</f>
        <v>600</v>
      </c>
    </row>
    <row r="4" ht="50" customHeight="1" spans="1:6">
      <c r="A4" s="65" t="s">
        <v>6</v>
      </c>
      <c r="B4" s="65" t="s">
        <v>7</v>
      </c>
      <c r="E4" s="65" t="s">
        <v>8</v>
      </c>
      <c r="F4" s="65" t="s">
        <v>9</v>
      </c>
    </row>
    <row r="5" ht="33" customHeight="1" spans="1:7">
      <c r="A5" s="66" t="s">
        <v>10</v>
      </c>
      <c r="B5" s="66" t="s">
        <v>11</v>
      </c>
      <c r="C5" s="67" t="s">
        <v>12</v>
      </c>
      <c r="E5" s="66" t="s">
        <v>10</v>
      </c>
      <c r="F5" s="66" t="s">
        <v>11</v>
      </c>
      <c r="G5" s="67" t="s">
        <v>12</v>
      </c>
    </row>
    <row r="6" customHeight="1" spans="1:7">
      <c r="A6" s="68" t="s">
        <v>13</v>
      </c>
      <c r="B6" s="69">
        <v>0.26</v>
      </c>
      <c r="C6" s="70">
        <f>ROUND($C$3*B6,0)</f>
        <v>291</v>
      </c>
      <c r="E6" s="68" t="s">
        <v>13</v>
      </c>
      <c r="F6" s="69">
        <v>0.4</v>
      </c>
      <c r="G6" s="80">
        <f>ROUND($G$3*F6,0)</f>
        <v>240</v>
      </c>
    </row>
    <row r="7" customHeight="1" spans="1:7">
      <c r="A7" s="68" t="s">
        <v>14</v>
      </c>
      <c r="B7" s="71">
        <v>0.3</v>
      </c>
      <c r="C7" s="70">
        <f t="shared" ref="C7:C12" si="0">ROUND($C$3*B7,0)</f>
        <v>336</v>
      </c>
      <c r="E7" s="68" t="s">
        <v>14</v>
      </c>
      <c r="F7" s="71">
        <v>0.2</v>
      </c>
      <c r="G7" s="80">
        <f>ROUND($G$3*F7,0)</f>
        <v>120</v>
      </c>
    </row>
    <row r="8" customHeight="1" spans="1:7">
      <c r="A8" s="68" t="s">
        <v>15</v>
      </c>
      <c r="B8" s="71">
        <v>0.1</v>
      </c>
      <c r="C8" s="70">
        <f t="shared" si="0"/>
        <v>112</v>
      </c>
      <c r="E8" s="68" t="s">
        <v>15</v>
      </c>
      <c r="F8" s="71">
        <v>0.16</v>
      </c>
      <c r="G8" s="80">
        <f>ROUND($G$3*F8,0)</f>
        <v>96</v>
      </c>
    </row>
    <row r="9" customHeight="1" spans="1:7">
      <c r="A9" s="68" t="s">
        <v>16</v>
      </c>
      <c r="B9" s="71">
        <v>0.1</v>
      </c>
      <c r="C9" s="70">
        <f t="shared" si="0"/>
        <v>112</v>
      </c>
      <c r="E9" s="68" t="s">
        <v>16</v>
      </c>
      <c r="F9" s="71">
        <v>0.1</v>
      </c>
      <c r="G9" s="80">
        <f>ROUND($G$3*F9,0)</f>
        <v>60</v>
      </c>
    </row>
    <row r="10" customHeight="1" spans="1:7">
      <c r="A10" s="68" t="s">
        <v>17</v>
      </c>
      <c r="B10" s="71">
        <v>0.07</v>
      </c>
      <c r="C10" s="70">
        <f t="shared" si="0"/>
        <v>78</v>
      </c>
      <c r="E10" s="68" t="s">
        <v>17</v>
      </c>
      <c r="F10" s="71">
        <v>0.07</v>
      </c>
      <c r="G10" s="80">
        <f>ROUND($G$3*F10,0)</f>
        <v>42</v>
      </c>
    </row>
    <row r="11" customHeight="1" spans="1:7">
      <c r="A11" s="68" t="s">
        <v>18</v>
      </c>
      <c r="B11" s="71">
        <v>0.07</v>
      </c>
      <c r="C11" s="70">
        <f t="shared" si="0"/>
        <v>78</v>
      </c>
      <c r="E11" s="68" t="s">
        <v>18</v>
      </c>
      <c r="F11" s="71">
        <v>0.07</v>
      </c>
      <c r="G11" s="80">
        <f>ROUND($G$3*F11,0)</f>
        <v>42</v>
      </c>
    </row>
    <row r="12" customHeight="1" spans="1:7">
      <c r="A12" s="68" t="s">
        <v>19</v>
      </c>
      <c r="B12" s="71">
        <v>0.1</v>
      </c>
      <c r="C12" s="70">
        <f t="shared" si="0"/>
        <v>112</v>
      </c>
      <c r="E12" s="68"/>
      <c r="F12" s="71"/>
      <c r="G12" s="80"/>
    </row>
    <row r="13" customHeight="1" spans="1:7">
      <c r="A13" s="68" t="s">
        <v>20</v>
      </c>
      <c r="B13" s="71" t="s">
        <v>21</v>
      </c>
      <c r="C13" s="72">
        <f>ROUND(SUM(C6:C11)/100*0.6,1)</f>
        <v>6</v>
      </c>
      <c r="E13" s="68" t="s">
        <v>20</v>
      </c>
      <c r="F13" s="71" t="s">
        <v>21</v>
      </c>
      <c r="G13" s="80">
        <f>ROUND(SUM(G6:G11)/100*0.6,1)</f>
        <v>3.6</v>
      </c>
    </row>
    <row r="14" customHeight="1" spans="1:7">
      <c r="A14" s="73" t="s">
        <v>22</v>
      </c>
      <c r="B14" s="73"/>
      <c r="C14" s="73"/>
      <c r="E14" s="73" t="s">
        <v>22</v>
      </c>
      <c r="F14" s="73"/>
      <c r="G14" s="73"/>
    </row>
    <row r="17" ht="30" customHeight="1" spans="1:7">
      <c r="A17" s="58" t="s">
        <v>23</v>
      </c>
      <c r="B17" s="58"/>
      <c r="C17" s="58"/>
      <c r="D17" s="58"/>
      <c r="E17" s="58"/>
      <c r="F17" s="58"/>
      <c r="G17" s="58"/>
    </row>
    <row r="18" ht="16" customHeight="1" spans="1:7">
      <c r="A18" s="74" t="s">
        <v>24</v>
      </c>
      <c r="B18" s="75" t="s">
        <v>25</v>
      </c>
      <c r="C18" s="76" t="s">
        <v>26</v>
      </c>
      <c r="E18" s="74" t="s">
        <v>27</v>
      </c>
      <c r="F18" s="75" t="s">
        <v>25</v>
      </c>
      <c r="G18" s="76" t="s">
        <v>26</v>
      </c>
    </row>
    <row r="19" ht="30" customHeight="1" spans="1:7">
      <c r="A19" s="74"/>
      <c r="B19" s="75"/>
      <c r="C19" s="77">
        <v>185</v>
      </c>
      <c r="E19" s="74"/>
      <c r="F19" s="75"/>
      <c r="G19" s="77">
        <v>300</v>
      </c>
    </row>
    <row r="20" ht="33" customHeight="1" spans="1:7">
      <c r="A20" s="78"/>
      <c r="B20" s="78"/>
      <c r="C20" s="79" t="s">
        <v>28</v>
      </c>
      <c r="E20" s="78"/>
      <c r="G20" s="81" t="s">
        <v>28</v>
      </c>
    </row>
    <row r="21" customHeight="1" spans="1:7">
      <c r="A21" s="66" t="s">
        <v>10</v>
      </c>
      <c r="B21" s="66" t="s">
        <v>11</v>
      </c>
      <c r="C21" s="67" t="s">
        <v>29</v>
      </c>
      <c r="E21" s="66" t="s">
        <v>10</v>
      </c>
      <c r="F21" s="66" t="s">
        <v>11</v>
      </c>
      <c r="G21" s="67" t="s">
        <v>29</v>
      </c>
    </row>
    <row r="22" customHeight="1" spans="1:7">
      <c r="A22" s="68" t="s">
        <v>13</v>
      </c>
      <c r="B22" s="69">
        <v>0.26</v>
      </c>
      <c r="C22" s="80">
        <f>ROUND($C$19*B22,0)</f>
        <v>48</v>
      </c>
      <c r="E22" s="68" t="s">
        <v>13</v>
      </c>
      <c r="F22" s="69">
        <v>0.4</v>
      </c>
      <c r="G22" s="80">
        <f t="shared" ref="G22:G27" si="1">ROUND($G$19*F22,0)</f>
        <v>120</v>
      </c>
    </row>
    <row r="23" customHeight="1" spans="1:7">
      <c r="A23" s="68" t="s">
        <v>14</v>
      </c>
      <c r="B23" s="71">
        <v>0.3</v>
      </c>
      <c r="C23" s="80">
        <f t="shared" ref="C23:C28" si="2">ROUND($C$19*B23,0)</f>
        <v>56</v>
      </c>
      <c r="E23" s="68" t="s">
        <v>14</v>
      </c>
      <c r="F23" s="71">
        <v>0.2</v>
      </c>
      <c r="G23" s="80">
        <f t="shared" si="1"/>
        <v>60</v>
      </c>
    </row>
    <row r="24" customHeight="1" spans="1:7">
      <c r="A24" s="68" t="s">
        <v>15</v>
      </c>
      <c r="B24" s="71">
        <v>0.1</v>
      </c>
      <c r="C24" s="80">
        <f t="shared" si="2"/>
        <v>19</v>
      </c>
      <c r="E24" s="68" t="s">
        <v>15</v>
      </c>
      <c r="F24" s="71">
        <v>0.16</v>
      </c>
      <c r="G24" s="80">
        <f t="shared" si="1"/>
        <v>48</v>
      </c>
    </row>
    <row r="25" customHeight="1" spans="1:7">
      <c r="A25" s="68" t="s">
        <v>16</v>
      </c>
      <c r="B25" s="71">
        <v>0.1</v>
      </c>
      <c r="C25" s="80">
        <f t="shared" si="2"/>
        <v>19</v>
      </c>
      <c r="E25" s="68" t="s">
        <v>16</v>
      </c>
      <c r="F25" s="71">
        <v>0.1</v>
      </c>
      <c r="G25" s="80">
        <f t="shared" si="1"/>
        <v>30</v>
      </c>
    </row>
    <row r="26" customHeight="1" spans="1:7">
      <c r="A26" s="68" t="s">
        <v>17</v>
      </c>
      <c r="B26" s="71">
        <v>0.07</v>
      </c>
      <c r="C26" s="80">
        <f t="shared" si="2"/>
        <v>13</v>
      </c>
      <c r="E26" s="68" t="s">
        <v>17</v>
      </c>
      <c r="F26" s="71">
        <v>0.07</v>
      </c>
      <c r="G26" s="80">
        <f t="shared" si="1"/>
        <v>21</v>
      </c>
    </row>
    <row r="27" customHeight="1" spans="1:7">
      <c r="A27" s="68" t="s">
        <v>18</v>
      </c>
      <c r="B27" s="71">
        <v>0.07</v>
      </c>
      <c r="C27" s="80">
        <f t="shared" si="2"/>
        <v>13</v>
      </c>
      <c r="E27" s="68" t="s">
        <v>18</v>
      </c>
      <c r="F27" s="71">
        <v>0.07</v>
      </c>
      <c r="G27" s="80">
        <f t="shared" si="1"/>
        <v>21</v>
      </c>
    </row>
    <row r="28" customHeight="1" spans="1:7">
      <c r="A28" s="68" t="s">
        <v>19</v>
      </c>
      <c r="B28" s="71">
        <v>0.1</v>
      </c>
      <c r="C28" s="80">
        <f t="shared" si="2"/>
        <v>19</v>
      </c>
      <c r="E28" s="68" t="s">
        <v>30</v>
      </c>
      <c r="F28" s="71"/>
      <c r="G28" s="80"/>
    </row>
    <row r="29" customHeight="1" spans="1:7">
      <c r="A29" s="68" t="s">
        <v>20</v>
      </c>
      <c r="B29" s="71" t="s">
        <v>21</v>
      </c>
      <c r="C29" s="80">
        <f>ROUND(SUM(C22:C27)/100*0.6,1)</f>
        <v>1</v>
      </c>
      <c r="E29" s="68" t="s">
        <v>20</v>
      </c>
      <c r="F29" s="71" t="s">
        <v>21</v>
      </c>
      <c r="G29" s="80">
        <f>ROUND(SUM(G22:G27)/100*0.6,1)</f>
        <v>1.8</v>
      </c>
    </row>
    <row r="30" customHeight="1" spans="1:7">
      <c r="A30" s="73" t="s">
        <v>22</v>
      </c>
      <c r="B30" s="73"/>
      <c r="C30" s="73"/>
      <c r="E30" s="73" t="s">
        <v>22</v>
      </c>
      <c r="F30" s="73"/>
      <c r="G30" s="73"/>
    </row>
    <row r="32" ht="11" customHeight="1"/>
    <row r="33" ht="30" customHeight="1" spans="1:1">
      <c r="A33" s="82" t="s">
        <v>31</v>
      </c>
    </row>
    <row r="34" customHeight="1" spans="1:7">
      <c r="A34" s="83" t="s">
        <v>13</v>
      </c>
      <c r="B34" s="84" t="s">
        <v>32</v>
      </c>
      <c r="C34" s="85" t="s">
        <v>33</v>
      </c>
      <c r="D34" s="85"/>
      <c r="E34" s="85"/>
      <c r="F34" s="85"/>
      <c r="G34" s="85"/>
    </row>
    <row r="35" customHeight="1" spans="1:7">
      <c r="A35" s="83"/>
      <c r="B35" s="84" t="s">
        <v>34</v>
      </c>
      <c r="C35" s="86" t="s">
        <v>35</v>
      </c>
      <c r="D35" s="85"/>
      <c r="E35" s="85"/>
      <c r="F35" s="85"/>
      <c r="G35" s="85"/>
    </row>
    <row r="36" customHeight="1" spans="1:7">
      <c r="A36" s="83"/>
      <c r="B36" s="84" t="s">
        <v>36</v>
      </c>
      <c r="C36" s="86" t="s">
        <v>37</v>
      </c>
      <c r="D36" s="85"/>
      <c r="E36" s="85"/>
      <c r="F36" s="85"/>
      <c r="G36" s="85"/>
    </row>
    <row r="37" customHeight="1" spans="1:7">
      <c r="A37" s="83"/>
      <c r="B37" s="84" t="s">
        <v>38</v>
      </c>
      <c r="C37" s="86" t="s">
        <v>39</v>
      </c>
      <c r="D37" s="85"/>
      <c r="E37" s="85"/>
      <c r="F37" s="85"/>
      <c r="G37" s="85"/>
    </row>
    <row r="38" customHeight="1" spans="1:7">
      <c r="A38" s="87" t="s">
        <v>14</v>
      </c>
      <c r="B38" s="84" t="s">
        <v>40</v>
      </c>
      <c r="C38" s="86" t="s">
        <v>41</v>
      </c>
      <c r="D38" s="85"/>
      <c r="E38" s="85"/>
      <c r="F38" s="85"/>
      <c r="G38" s="85"/>
    </row>
    <row r="39" customHeight="1" spans="1:7">
      <c r="A39" s="87"/>
      <c r="B39" s="84" t="s">
        <v>42</v>
      </c>
      <c r="C39" s="86" t="s">
        <v>43</v>
      </c>
      <c r="D39" s="85"/>
      <c r="E39" s="85"/>
      <c r="F39" s="85"/>
      <c r="G39" s="85"/>
    </row>
    <row r="40" customHeight="1" spans="1:7">
      <c r="A40" s="87"/>
      <c r="B40" s="84" t="s">
        <v>44</v>
      </c>
      <c r="C40" s="86" t="s">
        <v>45</v>
      </c>
      <c r="D40" s="85"/>
      <c r="E40" s="85"/>
      <c r="F40" s="85"/>
      <c r="G40" s="85"/>
    </row>
    <row r="41" customHeight="1" spans="1:7">
      <c r="A41" s="87"/>
      <c r="B41" s="84" t="s">
        <v>46</v>
      </c>
      <c r="C41" s="85" t="s">
        <v>47</v>
      </c>
      <c r="D41" s="85"/>
      <c r="E41" s="85"/>
      <c r="F41" s="85"/>
      <c r="G41" s="85"/>
    </row>
    <row r="42" customHeight="1" spans="1:7">
      <c r="A42" s="87"/>
      <c r="B42" s="84" t="s">
        <v>48</v>
      </c>
      <c r="C42" s="85" t="s">
        <v>49</v>
      </c>
      <c r="D42" s="85"/>
      <c r="E42" s="85"/>
      <c r="F42" s="85"/>
      <c r="G42" s="85"/>
    </row>
    <row r="43" customHeight="1" spans="1:7">
      <c r="A43" s="87"/>
      <c r="B43" s="84" t="s">
        <v>50</v>
      </c>
      <c r="C43" s="86" t="s">
        <v>51</v>
      </c>
      <c r="D43" s="85"/>
      <c r="E43" s="85"/>
      <c r="F43" s="85"/>
      <c r="G43" s="85"/>
    </row>
    <row r="44" customHeight="1" spans="1:7">
      <c r="A44" s="87"/>
      <c r="B44" s="84" t="s">
        <v>52</v>
      </c>
      <c r="C44" s="86" t="s">
        <v>53</v>
      </c>
      <c r="D44" s="85"/>
      <c r="E44" s="85"/>
      <c r="F44" s="85"/>
      <c r="G44" s="85"/>
    </row>
    <row r="45" customHeight="1" spans="1:7">
      <c r="A45" s="87"/>
      <c r="B45" s="84" t="s">
        <v>54</v>
      </c>
      <c r="C45" s="86" t="s">
        <v>55</v>
      </c>
      <c r="D45" s="85"/>
      <c r="E45" s="85"/>
      <c r="F45" s="85"/>
      <c r="G45" s="85"/>
    </row>
    <row r="46" customHeight="1" spans="1:7">
      <c r="A46" s="88" t="s">
        <v>15</v>
      </c>
      <c r="B46" s="84" t="s">
        <v>56</v>
      </c>
      <c r="C46" s="86" t="s">
        <v>57</v>
      </c>
      <c r="D46" s="85"/>
      <c r="E46" s="85"/>
      <c r="F46" s="85"/>
      <c r="G46" s="85"/>
    </row>
    <row r="47" customHeight="1" spans="1:7">
      <c r="A47" s="88"/>
      <c r="B47" s="84" t="s">
        <v>58</v>
      </c>
      <c r="C47" s="86" t="s">
        <v>59</v>
      </c>
      <c r="D47" s="85"/>
      <c r="E47" s="85"/>
      <c r="F47" s="85"/>
      <c r="G47" s="85"/>
    </row>
    <row r="48" customHeight="1" spans="1:7">
      <c r="A48" s="88"/>
      <c r="B48" s="84" t="s">
        <v>60</v>
      </c>
      <c r="C48" s="86" t="s">
        <v>61</v>
      </c>
      <c r="D48" s="85"/>
      <c r="E48" s="85"/>
      <c r="F48" s="85"/>
      <c r="G48" s="85"/>
    </row>
    <row r="49" customHeight="1" spans="1:7">
      <c r="A49" s="88"/>
      <c r="B49" s="84" t="s">
        <v>62</v>
      </c>
      <c r="C49" s="86" t="s">
        <v>63</v>
      </c>
      <c r="D49" s="85"/>
      <c r="E49" s="85"/>
      <c r="F49" s="85"/>
      <c r="G49" s="85"/>
    </row>
    <row r="50" customHeight="1" spans="1:7">
      <c r="A50" s="88"/>
      <c r="B50" s="84" t="s">
        <v>64</v>
      </c>
      <c r="C50" s="86" t="s">
        <v>65</v>
      </c>
      <c r="D50" s="85"/>
      <c r="E50" s="85"/>
      <c r="F50" s="85"/>
      <c r="G50" s="85"/>
    </row>
    <row r="51" customHeight="1" spans="1:7">
      <c r="A51" s="88"/>
      <c r="B51" s="84" t="s">
        <v>66</v>
      </c>
      <c r="C51" s="86" t="s">
        <v>67</v>
      </c>
      <c r="D51" s="85"/>
      <c r="E51" s="85"/>
      <c r="F51" s="85"/>
      <c r="G51" s="85"/>
    </row>
    <row r="52" customHeight="1" spans="1:7">
      <c r="A52" s="88"/>
      <c r="B52" s="84" t="s">
        <v>68</v>
      </c>
      <c r="C52" s="86" t="s">
        <v>69</v>
      </c>
      <c r="D52" s="85"/>
      <c r="E52" s="85"/>
      <c r="F52" s="85"/>
      <c r="G52" s="85"/>
    </row>
    <row r="53" customHeight="1" spans="1:7">
      <c r="A53" s="88"/>
      <c r="B53" s="89" t="s">
        <v>70</v>
      </c>
      <c r="C53" s="86" t="s">
        <v>71</v>
      </c>
      <c r="D53" s="85"/>
      <c r="E53" s="85"/>
      <c r="F53" s="85"/>
      <c r="G53" s="85"/>
    </row>
    <row r="54" customHeight="1" spans="1:7">
      <c r="A54" s="88"/>
      <c r="B54" s="89" t="s">
        <v>72</v>
      </c>
      <c r="C54" s="86" t="s">
        <v>73</v>
      </c>
      <c r="D54" s="85"/>
      <c r="E54" s="85"/>
      <c r="F54" s="85"/>
      <c r="G54" s="85"/>
    </row>
    <row r="55" customHeight="1" spans="1:7">
      <c r="A55" s="90" t="s">
        <v>16</v>
      </c>
      <c r="B55" s="84" t="s">
        <v>74</v>
      </c>
      <c r="C55" s="86" t="s">
        <v>75</v>
      </c>
      <c r="D55" s="85"/>
      <c r="E55" s="85"/>
      <c r="F55" s="85"/>
      <c r="G55" s="85"/>
    </row>
    <row r="56" customHeight="1" spans="1:7">
      <c r="A56" s="90"/>
      <c r="B56" s="84" t="s">
        <v>76</v>
      </c>
      <c r="C56" s="86" t="s">
        <v>77</v>
      </c>
      <c r="D56" s="85"/>
      <c r="E56" s="85"/>
      <c r="F56" s="85"/>
      <c r="G56" s="85"/>
    </row>
    <row r="57" customHeight="1" spans="1:7">
      <c r="A57" s="90"/>
      <c r="B57" s="84" t="s">
        <v>78</v>
      </c>
      <c r="C57" s="86" t="s">
        <v>79</v>
      </c>
      <c r="D57" s="85"/>
      <c r="E57" s="85"/>
      <c r="F57" s="85"/>
      <c r="G57" s="85"/>
    </row>
    <row r="58" customHeight="1" spans="1:7">
      <c r="A58" s="90"/>
      <c r="B58" s="84" t="s">
        <v>80</v>
      </c>
      <c r="C58" s="86" t="s">
        <v>81</v>
      </c>
      <c r="D58" s="85"/>
      <c r="E58" s="85"/>
      <c r="F58" s="85"/>
      <c r="G58" s="85"/>
    </row>
    <row r="59" customHeight="1" spans="1:7">
      <c r="A59" s="90"/>
      <c r="B59" s="84" t="s">
        <v>82</v>
      </c>
      <c r="C59" s="86" t="s">
        <v>83</v>
      </c>
      <c r="D59" s="85"/>
      <c r="E59" s="85"/>
      <c r="F59" s="85"/>
      <c r="G59" s="85"/>
    </row>
    <row r="60" customHeight="1" spans="1:7">
      <c r="A60" s="90"/>
      <c r="B60" s="84" t="s">
        <v>84</v>
      </c>
      <c r="C60" s="86" t="s">
        <v>85</v>
      </c>
      <c r="D60" s="85"/>
      <c r="E60" s="85"/>
      <c r="F60" s="85"/>
      <c r="G60" s="85"/>
    </row>
    <row r="61" customHeight="1" spans="1:7">
      <c r="A61" s="90"/>
      <c r="B61" s="84" t="s">
        <v>86</v>
      </c>
      <c r="C61" s="86" t="s">
        <v>87</v>
      </c>
      <c r="D61" s="85"/>
      <c r="E61" s="85"/>
      <c r="F61" s="85"/>
      <c r="G61" s="85"/>
    </row>
    <row r="62" customHeight="1" spans="1:7">
      <c r="A62" s="90"/>
      <c r="B62" s="91" t="s">
        <v>88</v>
      </c>
      <c r="C62" s="86" t="s">
        <v>89</v>
      </c>
      <c r="D62" s="85"/>
      <c r="E62" s="85"/>
      <c r="F62" s="85"/>
      <c r="G62" s="85"/>
    </row>
    <row r="63" customHeight="1" spans="1:7">
      <c r="A63" s="90"/>
      <c r="B63" s="89" t="s">
        <v>90</v>
      </c>
      <c r="C63" s="86" t="s">
        <v>91</v>
      </c>
      <c r="D63" s="85"/>
      <c r="E63" s="85"/>
      <c r="F63" s="85"/>
      <c r="G63" s="85"/>
    </row>
    <row r="64" customHeight="1" spans="1:7">
      <c r="A64" s="90"/>
      <c r="B64" s="89" t="s">
        <v>92</v>
      </c>
      <c r="C64" s="86" t="s">
        <v>93</v>
      </c>
      <c r="D64" s="85"/>
      <c r="E64" s="85"/>
      <c r="F64" s="85"/>
      <c r="G64" s="85"/>
    </row>
    <row r="65" customHeight="1" spans="1:7">
      <c r="A65" s="90"/>
      <c r="B65" s="89" t="s">
        <v>94</v>
      </c>
      <c r="C65" s="86" t="s">
        <v>95</v>
      </c>
      <c r="D65" s="85"/>
      <c r="E65" s="85"/>
      <c r="F65" s="85"/>
      <c r="G65" s="85"/>
    </row>
    <row r="66" customHeight="1" spans="1:7">
      <c r="A66" s="88" t="s">
        <v>17</v>
      </c>
      <c r="B66" s="84" t="s">
        <v>96</v>
      </c>
      <c r="C66" s="92" t="s">
        <v>97</v>
      </c>
      <c r="D66" s="93"/>
      <c r="E66" s="93"/>
      <c r="F66" s="93"/>
      <c r="G66" s="100"/>
    </row>
    <row r="67" customHeight="1" spans="1:7">
      <c r="A67" s="88"/>
      <c r="B67" s="84" t="s">
        <v>98</v>
      </c>
      <c r="C67" s="94"/>
      <c r="D67" s="95"/>
      <c r="E67" s="95"/>
      <c r="F67" s="95"/>
      <c r="G67" s="101"/>
    </row>
    <row r="68" customHeight="1" spans="1:7">
      <c r="A68" s="88"/>
      <c r="B68" s="84" t="s">
        <v>99</v>
      </c>
      <c r="C68" s="96"/>
      <c r="D68" s="97"/>
      <c r="E68" s="97"/>
      <c r="F68" s="97"/>
      <c r="G68" s="102"/>
    </row>
    <row r="69" customHeight="1" spans="1:7">
      <c r="A69" s="88"/>
      <c r="B69" s="84" t="s">
        <v>100</v>
      </c>
      <c r="C69" s="86" t="s">
        <v>101</v>
      </c>
      <c r="D69" s="85"/>
      <c r="E69" s="85"/>
      <c r="F69" s="85"/>
      <c r="G69" s="85"/>
    </row>
    <row r="70" customHeight="1" spans="1:7">
      <c r="A70" s="88"/>
      <c r="B70" s="84" t="s">
        <v>102</v>
      </c>
      <c r="C70" s="86" t="s">
        <v>103</v>
      </c>
      <c r="D70" s="85"/>
      <c r="E70" s="85"/>
      <c r="F70" s="85"/>
      <c r="G70" s="85"/>
    </row>
    <row r="71" customHeight="1" spans="1:7">
      <c r="A71" s="90" t="s">
        <v>18</v>
      </c>
      <c r="B71" s="84" t="s">
        <v>104</v>
      </c>
      <c r="C71" s="86" t="s">
        <v>105</v>
      </c>
      <c r="D71" s="85"/>
      <c r="E71" s="85"/>
      <c r="F71" s="85"/>
      <c r="G71" s="85"/>
    </row>
    <row r="72" customHeight="1" spans="1:7">
      <c r="A72" s="90"/>
      <c r="B72" s="84" t="s">
        <v>106</v>
      </c>
      <c r="C72" s="86" t="s">
        <v>107</v>
      </c>
      <c r="D72" s="85"/>
      <c r="E72" s="85"/>
      <c r="F72" s="85"/>
      <c r="G72" s="85"/>
    </row>
    <row r="73" customHeight="1" spans="1:7">
      <c r="A73" s="90"/>
      <c r="B73" s="84" t="s">
        <v>108</v>
      </c>
      <c r="C73" s="86" t="s">
        <v>109</v>
      </c>
      <c r="D73" s="85"/>
      <c r="E73" s="85"/>
      <c r="F73" s="85"/>
      <c r="G73" s="85"/>
    </row>
    <row r="74" customHeight="1" spans="1:7">
      <c r="A74" s="90"/>
      <c r="B74" s="84" t="s">
        <v>110</v>
      </c>
      <c r="C74" s="86" t="s">
        <v>111</v>
      </c>
      <c r="D74" s="85"/>
      <c r="E74" s="85"/>
      <c r="F74" s="85"/>
      <c r="G74" s="85"/>
    </row>
    <row r="75" customHeight="1" spans="1:7">
      <c r="A75" s="90"/>
      <c r="B75" s="84" t="s">
        <v>112</v>
      </c>
      <c r="C75" s="86" t="s">
        <v>113</v>
      </c>
      <c r="D75" s="85"/>
      <c r="E75" s="85"/>
      <c r="F75" s="85"/>
      <c r="G75" s="85"/>
    </row>
    <row r="76" customHeight="1" spans="1:7">
      <c r="A76" s="88" t="s">
        <v>19</v>
      </c>
      <c r="B76" s="84" t="s">
        <v>114</v>
      </c>
      <c r="C76" s="86" t="s">
        <v>115</v>
      </c>
      <c r="D76" s="85"/>
      <c r="E76" s="85"/>
      <c r="F76" s="85"/>
      <c r="G76" s="85"/>
    </row>
    <row r="77" customHeight="1" spans="1:7">
      <c r="A77" s="88"/>
      <c r="B77" s="84" t="s">
        <v>116</v>
      </c>
      <c r="C77" s="86" t="s">
        <v>117</v>
      </c>
      <c r="D77" s="85"/>
      <c r="E77" s="85"/>
      <c r="F77" s="85"/>
      <c r="G77" s="85"/>
    </row>
    <row r="78" customHeight="1" spans="1:7">
      <c r="A78" s="88"/>
      <c r="B78" s="84" t="s">
        <v>118</v>
      </c>
      <c r="C78" s="86" t="s">
        <v>119</v>
      </c>
      <c r="D78" s="85"/>
      <c r="E78" s="85"/>
      <c r="F78" s="85"/>
      <c r="G78" s="85"/>
    </row>
    <row r="79" customHeight="1" spans="1:7">
      <c r="A79" s="88"/>
      <c r="B79" s="84" t="s">
        <v>120</v>
      </c>
      <c r="C79" s="86" t="s">
        <v>121</v>
      </c>
      <c r="D79" s="85"/>
      <c r="E79" s="85"/>
      <c r="F79" s="85"/>
      <c r="G79" s="85"/>
    </row>
    <row r="80" customHeight="1" spans="1:7">
      <c r="A80" s="88"/>
      <c r="B80" s="84" t="s">
        <v>122</v>
      </c>
      <c r="C80" s="98" t="s">
        <v>123</v>
      </c>
      <c r="D80" s="99"/>
      <c r="E80" s="99"/>
      <c r="F80" s="99"/>
      <c r="G80" s="99"/>
    </row>
    <row r="81" customHeight="1" spans="1:7">
      <c r="A81" s="88"/>
      <c r="B81" s="84" t="s">
        <v>124</v>
      </c>
      <c r="C81" s="86" t="s">
        <v>125</v>
      </c>
      <c r="D81" s="85"/>
      <c r="E81" s="85"/>
      <c r="F81" s="85"/>
      <c r="G81" s="85"/>
    </row>
    <row r="82" customHeight="1" spans="1:7">
      <c r="A82" s="88"/>
      <c r="B82" s="84" t="s">
        <v>126</v>
      </c>
      <c r="C82" s="98" t="s">
        <v>127</v>
      </c>
      <c r="D82" s="99"/>
      <c r="E82" s="99"/>
      <c r="F82" s="99"/>
      <c r="G82" s="99"/>
    </row>
    <row r="83" customHeight="1" spans="1:7">
      <c r="A83" s="88"/>
      <c r="B83" s="84" t="s">
        <v>128</v>
      </c>
      <c r="C83" s="86" t="s">
        <v>129</v>
      </c>
      <c r="D83" s="85"/>
      <c r="E83" s="85"/>
      <c r="F83" s="85"/>
      <c r="G83" s="85"/>
    </row>
    <row r="84" customHeight="1" spans="1:7">
      <c r="A84" s="88"/>
      <c r="B84" s="84" t="s">
        <v>130</v>
      </c>
      <c r="C84" s="86" t="s">
        <v>131</v>
      </c>
      <c r="D84" s="85"/>
      <c r="E84" s="85"/>
      <c r="F84" s="85"/>
      <c r="G84" s="85"/>
    </row>
    <row r="85" customHeight="1" spans="1:7">
      <c r="A85" s="88"/>
      <c r="B85" s="84" t="s">
        <v>132</v>
      </c>
      <c r="C85" s="86" t="s">
        <v>133</v>
      </c>
      <c r="D85" s="85"/>
      <c r="E85" s="85"/>
      <c r="F85" s="85"/>
      <c r="G85" s="85"/>
    </row>
    <row r="86" customHeight="1" spans="1:7">
      <c r="A86" s="88"/>
      <c r="B86" s="84" t="s">
        <v>134</v>
      </c>
      <c r="C86" s="86" t="s">
        <v>135</v>
      </c>
      <c r="D86" s="85"/>
      <c r="E86" s="85"/>
      <c r="F86" s="85"/>
      <c r="G86" s="85"/>
    </row>
    <row r="87" customHeight="1" spans="1:7">
      <c r="A87" s="88"/>
      <c r="B87" s="84" t="s">
        <v>136</v>
      </c>
      <c r="C87" s="98" t="s">
        <v>137</v>
      </c>
      <c r="D87" s="99"/>
      <c r="E87" s="99"/>
      <c r="F87" s="99"/>
      <c r="G87" s="99"/>
    </row>
    <row r="88" customHeight="1" spans="1:7">
      <c r="A88" s="88"/>
      <c r="B88" s="84" t="s">
        <v>138</v>
      </c>
      <c r="C88" s="86" t="s">
        <v>139</v>
      </c>
      <c r="D88" s="85"/>
      <c r="E88" s="85"/>
      <c r="F88" s="85"/>
      <c r="G88" s="85"/>
    </row>
    <row r="89" customHeight="1" spans="1:7">
      <c r="A89" s="88"/>
      <c r="B89" s="84" t="s">
        <v>140</v>
      </c>
      <c r="C89" s="86" t="s">
        <v>141</v>
      </c>
      <c r="D89" s="85"/>
      <c r="E89" s="85"/>
      <c r="F89" s="85"/>
      <c r="G89" s="85"/>
    </row>
    <row r="90" customHeight="1" spans="1:7">
      <c r="A90" s="88"/>
      <c r="B90" s="84" t="s">
        <v>142</v>
      </c>
      <c r="C90" s="86" t="s">
        <v>143</v>
      </c>
      <c r="D90" s="85"/>
      <c r="E90" s="85"/>
      <c r="F90" s="85"/>
      <c r="G90" s="85"/>
    </row>
    <row r="91" customHeight="1" spans="1:7">
      <c r="A91" s="88"/>
      <c r="B91" s="84" t="s">
        <v>144</v>
      </c>
      <c r="C91" s="86" t="s">
        <v>145</v>
      </c>
      <c r="D91" s="85"/>
      <c r="E91" s="85"/>
      <c r="F91" s="85"/>
      <c r="G91" s="85"/>
    </row>
    <row r="92" customHeight="1" spans="1:7">
      <c r="A92" s="88"/>
      <c r="B92" s="84" t="s">
        <v>146</v>
      </c>
      <c r="C92" s="86" t="s">
        <v>147</v>
      </c>
      <c r="D92" s="85"/>
      <c r="E92" s="85"/>
      <c r="F92" s="85"/>
      <c r="G92" s="85"/>
    </row>
    <row r="93" customHeight="1" spans="1:7">
      <c r="A93" s="88"/>
      <c r="B93" s="84" t="s">
        <v>148</v>
      </c>
      <c r="C93" s="86" t="s">
        <v>149</v>
      </c>
      <c r="D93" s="85"/>
      <c r="E93" s="85"/>
      <c r="F93" s="85"/>
      <c r="G93" s="85"/>
    </row>
    <row r="94" customHeight="1" spans="1:7">
      <c r="A94" s="88"/>
      <c r="B94" s="84" t="s">
        <v>150</v>
      </c>
      <c r="C94" s="86" t="s">
        <v>151</v>
      </c>
      <c r="D94" s="85"/>
      <c r="E94" s="85"/>
      <c r="F94" s="85"/>
      <c r="G94" s="85"/>
    </row>
    <row r="95" customHeight="1" spans="1:7">
      <c r="A95" s="88"/>
      <c r="B95" s="84" t="s">
        <v>152</v>
      </c>
      <c r="C95" s="98" t="s">
        <v>153</v>
      </c>
      <c r="D95" s="99"/>
      <c r="E95" s="99"/>
      <c r="F95" s="99"/>
      <c r="G95" s="99"/>
    </row>
    <row r="96" customHeight="1" spans="1:7">
      <c r="A96" s="88"/>
      <c r="B96" s="84" t="s">
        <v>154</v>
      </c>
      <c r="C96" s="86" t="s">
        <v>155</v>
      </c>
      <c r="D96" s="85"/>
      <c r="E96" s="85"/>
      <c r="F96" s="85"/>
      <c r="G96" s="85"/>
    </row>
    <row r="97" customHeight="1" spans="1:7">
      <c r="A97" s="88"/>
      <c r="B97" s="84" t="s">
        <v>156</v>
      </c>
      <c r="C97" s="86" t="s">
        <v>157</v>
      </c>
      <c r="D97" s="85"/>
      <c r="E97" s="85"/>
      <c r="F97" s="85"/>
      <c r="G97" s="85"/>
    </row>
    <row r="98" customHeight="1" spans="1:7">
      <c r="A98" s="88"/>
      <c r="B98" s="84" t="s">
        <v>158</v>
      </c>
      <c r="C98" s="86" t="s">
        <v>159</v>
      </c>
      <c r="D98" s="85"/>
      <c r="E98" s="85"/>
      <c r="F98" s="85"/>
      <c r="G98" s="85"/>
    </row>
    <row r="99" customHeight="1" spans="1:7">
      <c r="A99" s="88"/>
      <c r="B99" s="84" t="s">
        <v>160</v>
      </c>
      <c r="C99" s="86" t="s">
        <v>161</v>
      </c>
      <c r="D99" s="85"/>
      <c r="E99" s="85"/>
      <c r="F99" s="85"/>
      <c r="G99" s="85"/>
    </row>
    <row r="100" customHeight="1" spans="1:7">
      <c r="A100" s="88"/>
      <c r="B100" s="84" t="s">
        <v>162</v>
      </c>
      <c r="C100" s="86" t="s">
        <v>163</v>
      </c>
      <c r="D100" s="85"/>
      <c r="E100" s="85"/>
      <c r="F100" s="85"/>
      <c r="G100" s="85"/>
    </row>
    <row r="101" customHeight="1" spans="1:7">
      <c r="A101" s="88"/>
      <c r="B101" s="84" t="s">
        <v>164</v>
      </c>
      <c r="C101" s="86" t="s">
        <v>165</v>
      </c>
      <c r="D101" s="85"/>
      <c r="E101" s="85"/>
      <c r="F101" s="85"/>
      <c r="G101" s="85"/>
    </row>
    <row r="102" customHeight="1" spans="1:7">
      <c r="A102" s="88"/>
      <c r="B102" s="84" t="s">
        <v>166</v>
      </c>
      <c r="C102" s="86" t="s">
        <v>167</v>
      </c>
      <c r="D102" s="85"/>
      <c r="E102" s="85"/>
      <c r="F102" s="85"/>
      <c r="G102" s="85"/>
    </row>
    <row r="103" customHeight="1" spans="1:7">
      <c r="A103" s="88"/>
      <c r="B103" s="84" t="s">
        <v>168</v>
      </c>
      <c r="C103" s="86" t="s">
        <v>169</v>
      </c>
      <c r="D103" s="85"/>
      <c r="E103" s="85"/>
      <c r="F103" s="85"/>
      <c r="G103" s="85"/>
    </row>
    <row r="104" customHeight="1" spans="1:7">
      <c r="A104" s="88"/>
      <c r="B104" s="84" t="s">
        <v>170</v>
      </c>
      <c r="C104" s="86" t="s">
        <v>171</v>
      </c>
      <c r="D104" s="85"/>
      <c r="E104" s="85"/>
      <c r="F104" s="85"/>
      <c r="G104" s="85"/>
    </row>
    <row r="105" customHeight="1" spans="1:7">
      <c r="A105" s="88"/>
      <c r="B105" s="84" t="s">
        <v>172</v>
      </c>
      <c r="C105" s="86" t="s">
        <v>173</v>
      </c>
      <c r="D105" s="85"/>
      <c r="E105" s="85"/>
      <c r="F105" s="85"/>
      <c r="G105" s="85"/>
    </row>
    <row r="106" customHeight="1" spans="1:7">
      <c r="A106" s="88"/>
      <c r="B106" s="84" t="s">
        <v>174</v>
      </c>
      <c r="C106" s="86" t="s">
        <v>175</v>
      </c>
      <c r="D106" s="85"/>
      <c r="E106" s="85"/>
      <c r="F106" s="85"/>
      <c r="G106" s="85"/>
    </row>
    <row r="107" customHeight="1" spans="1:7">
      <c r="A107" s="88"/>
      <c r="B107" s="84" t="s">
        <v>176</v>
      </c>
      <c r="C107" s="86" t="s">
        <v>177</v>
      </c>
      <c r="D107" s="85"/>
      <c r="E107" s="85"/>
      <c r="F107" s="85"/>
      <c r="G107" s="85"/>
    </row>
    <row r="108" customHeight="1" spans="1:7">
      <c r="A108" s="88"/>
      <c r="B108" s="84" t="s">
        <v>178</v>
      </c>
      <c r="C108" s="86" t="s">
        <v>179</v>
      </c>
      <c r="D108" s="85"/>
      <c r="E108" s="85"/>
      <c r="F108" s="85"/>
      <c r="G108" s="85"/>
    </row>
    <row r="109" customHeight="1" spans="1:7">
      <c r="A109" s="88"/>
      <c r="B109" s="84" t="s">
        <v>180</v>
      </c>
      <c r="C109" s="86" t="s">
        <v>181</v>
      </c>
      <c r="D109" s="85"/>
      <c r="E109" s="85"/>
      <c r="F109" s="85"/>
      <c r="G109" s="85"/>
    </row>
    <row r="110" customHeight="1" spans="1:7">
      <c r="A110" s="88"/>
      <c r="B110" s="84" t="s">
        <v>182</v>
      </c>
      <c r="C110" s="86" t="s">
        <v>183</v>
      </c>
      <c r="D110" s="85"/>
      <c r="E110" s="85"/>
      <c r="F110" s="85"/>
      <c r="G110" s="85"/>
    </row>
    <row r="111" customHeight="1" spans="1:7">
      <c r="A111" s="88"/>
      <c r="B111" s="84" t="s">
        <v>184</v>
      </c>
      <c r="C111" s="98" t="s">
        <v>185</v>
      </c>
      <c r="D111" s="99"/>
      <c r="E111" s="99"/>
      <c r="F111" s="99"/>
      <c r="G111" s="99"/>
    </row>
    <row r="112" customHeight="1" spans="1:7">
      <c r="A112" s="88"/>
      <c r="B112" s="84" t="s">
        <v>186</v>
      </c>
      <c r="C112" s="86" t="s">
        <v>187</v>
      </c>
      <c r="D112" s="85"/>
      <c r="E112" s="85"/>
      <c r="F112" s="85"/>
      <c r="G112" s="85"/>
    </row>
    <row r="113" customHeight="1" spans="1:7">
      <c r="A113" s="88"/>
      <c r="B113" s="84" t="s">
        <v>188</v>
      </c>
      <c r="C113" s="86" t="s">
        <v>189</v>
      </c>
      <c r="D113" s="85"/>
      <c r="E113" s="85"/>
      <c r="F113" s="85"/>
      <c r="G113" s="85"/>
    </row>
    <row r="114" customHeight="1" spans="1:7">
      <c r="A114" s="88"/>
      <c r="B114" s="84" t="s">
        <v>190</v>
      </c>
      <c r="C114" s="98" t="s">
        <v>191</v>
      </c>
      <c r="D114" s="99"/>
      <c r="E114" s="99"/>
      <c r="F114" s="99"/>
      <c r="G114" s="99"/>
    </row>
    <row r="115" customHeight="1" spans="1:7">
      <c r="A115" s="88"/>
      <c r="B115" s="84" t="s">
        <v>192</v>
      </c>
      <c r="C115" s="86" t="s">
        <v>193</v>
      </c>
      <c r="D115" s="85"/>
      <c r="E115" s="85"/>
      <c r="F115" s="85"/>
      <c r="G115" s="85"/>
    </row>
    <row r="116" customHeight="1" spans="1:7">
      <c r="A116" s="88"/>
      <c r="B116" s="84" t="s">
        <v>194</v>
      </c>
      <c r="C116" s="86" t="s">
        <v>195</v>
      </c>
      <c r="D116" s="85"/>
      <c r="E116" s="85"/>
      <c r="F116" s="85"/>
      <c r="G116" s="85"/>
    </row>
    <row r="117" customHeight="1" spans="1:7">
      <c r="A117" s="88"/>
      <c r="B117" s="84"/>
      <c r="C117" s="86"/>
      <c r="D117" s="85"/>
      <c r="E117" s="85"/>
      <c r="F117" s="85"/>
      <c r="G117" s="85"/>
    </row>
  </sheetData>
  <sheetProtection password="C7E5" sheet="1" objects="1"/>
  <mergeCells count="95">
    <mergeCell ref="A1:G1"/>
    <mergeCell ref="A17:G17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69:G69"/>
    <mergeCell ref="C70:G70"/>
    <mergeCell ref="C71:G71"/>
    <mergeCell ref="C72:G72"/>
    <mergeCell ref="C73:G73"/>
    <mergeCell ref="C74:G74"/>
    <mergeCell ref="C75:G75"/>
    <mergeCell ref="C76:G76"/>
    <mergeCell ref="C77:G77"/>
    <mergeCell ref="C78:G78"/>
    <mergeCell ref="C79:G79"/>
    <mergeCell ref="C80:G80"/>
    <mergeCell ref="C81:G81"/>
    <mergeCell ref="C82:G82"/>
    <mergeCell ref="C83:G83"/>
    <mergeCell ref="C84:G84"/>
    <mergeCell ref="C85:G85"/>
    <mergeCell ref="C86:G86"/>
    <mergeCell ref="C87:G87"/>
    <mergeCell ref="C88:G88"/>
    <mergeCell ref="C89:G89"/>
    <mergeCell ref="C90:G90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C109:G109"/>
    <mergeCell ref="C110:G110"/>
    <mergeCell ref="C111:G111"/>
    <mergeCell ref="C112:G112"/>
    <mergeCell ref="C113:G113"/>
    <mergeCell ref="C114:G114"/>
    <mergeCell ref="C115:G115"/>
    <mergeCell ref="C116:G116"/>
    <mergeCell ref="C117:G117"/>
    <mergeCell ref="A18:A19"/>
    <mergeCell ref="A34:A37"/>
    <mergeCell ref="A38:A45"/>
    <mergeCell ref="A46:A54"/>
    <mergeCell ref="A55:A65"/>
    <mergeCell ref="A66:A70"/>
    <mergeCell ref="A71:A75"/>
    <mergeCell ref="A76:A117"/>
    <mergeCell ref="B18:B19"/>
    <mergeCell ref="E18:E19"/>
    <mergeCell ref="F18:F19"/>
    <mergeCell ref="C66:G68"/>
  </mergeCells>
  <dataValidations count="2">
    <dataValidation type="list" allowBlank="1" showInputMessage="1" showErrorMessage="1" sqref="E3">
      <formula1>宠物猫</formula1>
    </dataValidation>
    <dataValidation type="list" allowBlank="1" showInputMessage="1" showErrorMessage="1" sqref="A3">
      <formula1>宠物狗</formula1>
    </dataValidation>
  </dataValidations>
  <pageMargins left="0.699305555555556" right="0.699305555555556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"/>
  <sheetViews>
    <sheetView showGridLines="0" showZeros="0" zoomScale="80" zoomScaleNormal="80" topLeftCell="G1" workbookViewId="0">
      <pane ySplit="2" topLeftCell="A3" activePane="bottomLeft" state="frozen"/>
      <selection/>
      <selection pane="bottomLeft" activeCell="G12" sqref="G12"/>
    </sheetView>
  </sheetViews>
  <sheetFormatPr defaultColWidth="9.64166666666667" defaultRowHeight="20" customHeight="1"/>
  <cols>
    <col min="1" max="1" width="35.25" style="16" customWidth="1"/>
    <col min="2" max="2" width="12.875" style="16" customWidth="1"/>
    <col min="3" max="4" width="21.25" style="22" customWidth="1"/>
    <col min="5" max="5" width="15.25" style="22" customWidth="1"/>
    <col min="6" max="6" width="9" style="5"/>
    <col min="7" max="7" width="35.25" style="16" customWidth="1"/>
    <col min="8" max="8" width="12.875" style="16" customWidth="1"/>
    <col min="9" max="10" width="21.25" style="22" customWidth="1"/>
    <col min="11" max="11" width="15.25" style="22" customWidth="1"/>
    <col min="12" max="16384" width="9" style="5"/>
  </cols>
  <sheetData>
    <row r="1" ht="29" customHeight="1" spans="1:11">
      <c r="A1" s="3" t="s">
        <v>196</v>
      </c>
      <c r="B1" s="3"/>
      <c r="C1" s="4"/>
      <c r="D1" s="4"/>
      <c r="E1" s="4"/>
      <c r="G1" s="3" t="s">
        <v>197</v>
      </c>
      <c r="H1" s="3"/>
      <c r="I1" s="4"/>
      <c r="J1" s="4"/>
      <c r="K1" s="4"/>
    </row>
    <row r="2" customHeight="1" spans="1:11">
      <c r="A2" s="6" t="s">
        <v>198</v>
      </c>
      <c r="B2" s="7" t="s">
        <v>199</v>
      </c>
      <c r="C2" s="23" t="s">
        <v>200</v>
      </c>
      <c r="D2" s="24" t="s">
        <v>201</v>
      </c>
      <c r="E2" s="8" t="s">
        <v>202</v>
      </c>
      <c r="G2" s="6" t="s">
        <v>198</v>
      </c>
      <c r="H2" s="7" t="s">
        <v>199</v>
      </c>
      <c r="I2" s="23" t="s">
        <v>200</v>
      </c>
      <c r="J2" s="24" t="s">
        <v>201</v>
      </c>
      <c r="K2" s="8" t="s">
        <v>202</v>
      </c>
    </row>
    <row r="3" customHeight="1" spans="1:11">
      <c r="A3" s="25" t="s">
        <v>203</v>
      </c>
      <c r="B3" s="12" t="s">
        <v>204</v>
      </c>
      <c r="C3" s="26">
        <v>22.5</v>
      </c>
      <c r="D3" s="27">
        <v>18</v>
      </c>
      <c r="E3" s="43"/>
      <c r="G3" s="25" t="s">
        <v>203</v>
      </c>
      <c r="H3" s="12" t="s">
        <v>204</v>
      </c>
      <c r="I3" s="26">
        <v>30</v>
      </c>
      <c r="J3" s="27">
        <v>26</v>
      </c>
      <c r="K3" s="43"/>
    </row>
    <row r="4" customHeight="1" spans="1:11">
      <c r="A4" s="28" t="s">
        <v>205</v>
      </c>
      <c r="B4" s="12" t="s">
        <v>204</v>
      </c>
      <c r="C4" s="26">
        <v>1</v>
      </c>
      <c r="D4" s="27">
        <v>0.51</v>
      </c>
      <c r="E4" s="44"/>
      <c r="G4" s="28" t="s">
        <v>205</v>
      </c>
      <c r="H4" s="12" t="s">
        <v>204</v>
      </c>
      <c r="I4" s="26">
        <v>1.24</v>
      </c>
      <c r="J4" s="27">
        <v>1.04</v>
      </c>
      <c r="K4" s="44"/>
    </row>
    <row r="5" customHeight="1" spans="1:11">
      <c r="A5" s="28" t="s">
        <v>206</v>
      </c>
      <c r="B5" s="12" t="s">
        <v>204</v>
      </c>
      <c r="C5" s="26">
        <v>0.44</v>
      </c>
      <c r="D5" s="27">
        <v>0.19</v>
      </c>
      <c r="E5" s="44"/>
      <c r="G5" s="28" t="s">
        <v>206</v>
      </c>
      <c r="H5" s="12" t="s">
        <v>204</v>
      </c>
      <c r="I5" s="26">
        <v>0.33</v>
      </c>
      <c r="J5" s="27">
        <v>0.31</v>
      </c>
      <c r="K5" s="44"/>
    </row>
    <row r="6" customHeight="1" spans="1:11">
      <c r="A6" s="28" t="s">
        <v>207</v>
      </c>
      <c r="B6" s="12" t="s">
        <v>204</v>
      </c>
      <c r="C6" s="26">
        <v>0.71</v>
      </c>
      <c r="D6" s="27">
        <v>0.38</v>
      </c>
      <c r="E6" s="44"/>
      <c r="G6" s="28" t="s">
        <v>207</v>
      </c>
      <c r="H6" s="12" t="s">
        <v>204</v>
      </c>
      <c r="I6" s="26">
        <v>0.56</v>
      </c>
      <c r="J6" s="27">
        <v>0.52</v>
      </c>
      <c r="K6" s="44"/>
    </row>
    <row r="7" customHeight="1" spans="1:11">
      <c r="A7" s="28" t="s">
        <v>208</v>
      </c>
      <c r="B7" s="12" t="s">
        <v>204</v>
      </c>
      <c r="C7" s="26">
        <v>1.29</v>
      </c>
      <c r="D7" s="27">
        <v>0.68</v>
      </c>
      <c r="E7" s="44"/>
      <c r="G7" s="28" t="s">
        <v>208</v>
      </c>
      <c r="H7" s="12" t="s">
        <v>204</v>
      </c>
      <c r="I7" s="26">
        <v>1.28</v>
      </c>
      <c r="J7" s="27">
        <v>1.24</v>
      </c>
      <c r="K7" s="44"/>
    </row>
    <row r="8" customHeight="1" spans="1:11">
      <c r="A8" s="28" t="s">
        <v>209</v>
      </c>
      <c r="B8" s="12" t="s">
        <v>204</v>
      </c>
      <c r="C8" s="26">
        <v>0.9</v>
      </c>
      <c r="D8" s="27">
        <v>0.63</v>
      </c>
      <c r="E8" s="44"/>
      <c r="G8" s="28" t="s">
        <v>209</v>
      </c>
      <c r="H8" s="12" t="s">
        <v>204</v>
      </c>
      <c r="I8" s="26">
        <v>1.2</v>
      </c>
      <c r="J8" s="27">
        <v>0.83</v>
      </c>
      <c r="K8" s="44"/>
    </row>
    <row r="9" customHeight="1" spans="1:11">
      <c r="A9" s="28" t="s">
        <v>210</v>
      </c>
      <c r="B9" s="12" t="s">
        <v>204</v>
      </c>
      <c r="C9" s="26">
        <v>0.35</v>
      </c>
      <c r="D9" s="27">
        <v>0.33</v>
      </c>
      <c r="E9" s="44"/>
      <c r="G9" s="28" t="s">
        <v>210</v>
      </c>
      <c r="H9" s="12" t="s">
        <v>204</v>
      </c>
      <c r="I9" s="26">
        <v>0.62</v>
      </c>
      <c r="J9" s="27">
        <v>0.2</v>
      </c>
      <c r="K9" s="44">
        <v>1.5</v>
      </c>
    </row>
    <row r="10" customHeight="1" spans="1:11">
      <c r="A10" s="28" t="s">
        <v>211</v>
      </c>
      <c r="B10" s="12" t="s">
        <v>204</v>
      </c>
      <c r="C10" s="26">
        <v>0.7</v>
      </c>
      <c r="D10" s="27">
        <v>0.65</v>
      </c>
      <c r="E10" s="44"/>
      <c r="G10" s="28" t="s">
        <v>211</v>
      </c>
      <c r="H10" s="12" t="s">
        <v>204</v>
      </c>
      <c r="I10" s="26">
        <v>1.1</v>
      </c>
      <c r="J10" s="27">
        <v>0.4</v>
      </c>
      <c r="K10" s="44"/>
    </row>
    <row r="11" customHeight="1" spans="1:11">
      <c r="A11" s="28" t="s">
        <v>212</v>
      </c>
      <c r="B11" s="12" t="s">
        <v>204</v>
      </c>
      <c r="C11" s="26">
        <v>0.83</v>
      </c>
      <c r="D11" s="27">
        <v>0.45</v>
      </c>
      <c r="E11" s="44"/>
      <c r="G11" s="28" t="s">
        <v>212</v>
      </c>
      <c r="H11" s="12" t="s">
        <v>204</v>
      </c>
      <c r="I11" s="26">
        <v>0.52</v>
      </c>
      <c r="J11" s="27">
        <v>0.42</v>
      </c>
      <c r="K11" s="44"/>
    </row>
    <row r="12" customHeight="1" spans="1:11">
      <c r="A12" s="28" t="s">
        <v>213</v>
      </c>
      <c r="B12" s="12" t="s">
        <v>204</v>
      </c>
      <c r="C12" s="26">
        <v>1.3</v>
      </c>
      <c r="D12" s="27">
        <v>0.74</v>
      </c>
      <c r="E12" s="44"/>
      <c r="G12" s="28" t="s">
        <v>213</v>
      </c>
      <c r="H12" s="12" t="s">
        <v>204</v>
      </c>
      <c r="I12" s="26">
        <v>1.92</v>
      </c>
      <c r="J12" s="27">
        <v>1.53</v>
      </c>
      <c r="K12" s="44"/>
    </row>
    <row r="13" customHeight="1" spans="1:11">
      <c r="A13" s="28" t="s">
        <v>214</v>
      </c>
      <c r="B13" s="12" t="s">
        <v>204</v>
      </c>
      <c r="C13" s="26">
        <v>1.04</v>
      </c>
      <c r="D13" s="27">
        <v>0.48</v>
      </c>
      <c r="E13" s="44"/>
      <c r="G13" s="28" t="s">
        <v>214</v>
      </c>
      <c r="H13" s="12" t="s">
        <v>204</v>
      </c>
      <c r="I13" s="26">
        <v>0.73</v>
      </c>
      <c r="J13" s="27">
        <v>0.73</v>
      </c>
      <c r="K13" s="44"/>
    </row>
    <row r="14" customHeight="1" spans="1:11">
      <c r="A14" s="28" t="s">
        <v>215</v>
      </c>
      <c r="B14" s="12" t="s">
        <v>204</v>
      </c>
      <c r="C14" s="26">
        <v>0.2</v>
      </c>
      <c r="D14" s="27">
        <v>0.16</v>
      </c>
      <c r="E14" s="44"/>
      <c r="G14" s="28" t="s">
        <v>215</v>
      </c>
      <c r="H14" s="12" t="s">
        <v>204</v>
      </c>
      <c r="I14" s="26">
        <v>0.25</v>
      </c>
      <c r="J14" s="27">
        <v>0.16</v>
      </c>
      <c r="K14" s="44">
        <v>1.7</v>
      </c>
    </row>
    <row r="15" customHeight="1" spans="1:11">
      <c r="A15" s="29" t="s">
        <v>216</v>
      </c>
      <c r="B15" s="14" t="s">
        <v>204</v>
      </c>
      <c r="C15" s="30">
        <v>0.68</v>
      </c>
      <c r="D15" s="31">
        <v>0.49</v>
      </c>
      <c r="E15" s="45"/>
      <c r="G15" s="29" t="s">
        <v>216</v>
      </c>
      <c r="H15" s="14" t="s">
        <v>204</v>
      </c>
      <c r="I15" s="30">
        <v>0.64</v>
      </c>
      <c r="J15" s="31">
        <v>0.62</v>
      </c>
      <c r="K15" s="45"/>
    </row>
    <row r="17" customHeight="1" spans="1:11">
      <c r="A17" s="32" t="s">
        <v>217</v>
      </c>
      <c r="B17" s="33" t="s">
        <v>204</v>
      </c>
      <c r="C17" s="34">
        <v>8.5</v>
      </c>
      <c r="D17" s="35">
        <v>5.5</v>
      </c>
      <c r="E17" s="46"/>
      <c r="G17" s="32" t="s">
        <v>217</v>
      </c>
      <c r="H17" s="33" t="s">
        <v>204</v>
      </c>
      <c r="I17" s="34">
        <v>9</v>
      </c>
      <c r="J17" s="35">
        <v>9</v>
      </c>
      <c r="K17" s="46"/>
    </row>
    <row r="18" customHeight="1" spans="1:11">
      <c r="A18" s="36" t="s">
        <v>218</v>
      </c>
      <c r="B18" s="12" t="s">
        <v>204</v>
      </c>
      <c r="C18" s="26">
        <v>1.3</v>
      </c>
      <c r="D18" s="27">
        <v>1.1</v>
      </c>
      <c r="E18" s="44"/>
      <c r="G18" s="36" t="s">
        <v>218</v>
      </c>
      <c r="H18" s="12" t="s">
        <v>204</v>
      </c>
      <c r="I18" s="26">
        <v>0.6</v>
      </c>
      <c r="J18" s="27">
        <v>0.6</v>
      </c>
      <c r="K18" s="44"/>
    </row>
    <row r="19" customHeight="1" spans="1:11">
      <c r="A19" s="36" t="s">
        <v>219</v>
      </c>
      <c r="B19" s="12" t="s">
        <v>204</v>
      </c>
      <c r="C19" s="26">
        <v>0.08</v>
      </c>
      <c r="D19" s="27" t="s">
        <v>220</v>
      </c>
      <c r="E19" s="44"/>
      <c r="G19" s="36" t="s">
        <v>219</v>
      </c>
      <c r="H19" s="12" t="s">
        <v>204</v>
      </c>
      <c r="I19" s="26">
        <v>0.02</v>
      </c>
      <c r="J19" s="27" t="s">
        <v>220</v>
      </c>
      <c r="K19" s="44"/>
    </row>
    <row r="20" customHeight="1" spans="1:11">
      <c r="A20" s="36" t="s">
        <v>221</v>
      </c>
      <c r="B20" s="12" t="s">
        <v>204</v>
      </c>
      <c r="C20" s="26"/>
      <c r="D20" s="27"/>
      <c r="E20" s="44"/>
      <c r="G20" s="36" t="s">
        <v>221</v>
      </c>
      <c r="H20" s="12" t="s">
        <v>204</v>
      </c>
      <c r="I20" s="26">
        <v>0.02</v>
      </c>
      <c r="J20" s="27">
        <v>0.02</v>
      </c>
      <c r="K20" s="44"/>
    </row>
    <row r="21" customHeight="1" spans="1:11">
      <c r="A21" s="36" t="s">
        <v>222</v>
      </c>
      <c r="B21" s="12" t="s">
        <v>204</v>
      </c>
      <c r="C21" s="26">
        <v>0.05</v>
      </c>
      <c r="D21" s="27" t="s">
        <v>220</v>
      </c>
      <c r="E21" s="44"/>
      <c r="G21" s="36" t="s">
        <v>223</v>
      </c>
      <c r="H21" s="12" t="s">
        <v>204</v>
      </c>
      <c r="I21" s="26">
        <v>0.012</v>
      </c>
      <c r="J21" s="27" t="s">
        <v>220</v>
      </c>
      <c r="K21" s="44"/>
    </row>
    <row r="22" customHeight="1" spans="1:11">
      <c r="A22" s="37" t="s">
        <v>224</v>
      </c>
      <c r="B22" s="14"/>
      <c r="C22" s="30"/>
      <c r="D22" s="31"/>
      <c r="E22" s="47" t="s">
        <v>225</v>
      </c>
      <c r="G22" s="48"/>
      <c r="H22" s="14"/>
      <c r="I22" s="30"/>
      <c r="J22" s="31"/>
      <c r="K22" s="45"/>
    </row>
    <row r="24" customHeight="1" spans="1:11">
      <c r="A24" s="38" t="s">
        <v>226</v>
      </c>
      <c r="B24" s="39"/>
      <c r="C24" s="40"/>
      <c r="D24" s="41"/>
      <c r="E24" s="46"/>
      <c r="G24" s="38" t="s">
        <v>226</v>
      </c>
      <c r="H24" s="39"/>
      <c r="I24" s="40"/>
      <c r="J24" s="41"/>
      <c r="K24" s="46"/>
    </row>
    <row r="25" customHeight="1" spans="1:11">
      <c r="A25" s="42" t="s">
        <v>227</v>
      </c>
      <c r="B25" s="12" t="s">
        <v>204</v>
      </c>
      <c r="C25" s="26">
        <v>1.2</v>
      </c>
      <c r="D25" s="27">
        <v>0.5</v>
      </c>
      <c r="E25" s="44">
        <v>1.8</v>
      </c>
      <c r="G25" s="42" t="s">
        <v>227</v>
      </c>
      <c r="H25" s="12" t="s">
        <v>204</v>
      </c>
      <c r="I25" s="26">
        <v>1</v>
      </c>
      <c r="J25" s="27">
        <v>0.6</v>
      </c>
      <c r="K25" s="44"/>
    </row>
    <row r="26" customHeight="1" spans="1:11">
      <c r="A26" s="42" t="s">
        <v>228</v>
      </c>
      <c r="B26" s="12" t="s">
        <v>204</v>
      </c>
      <c r="C26" s="26">
        <v>1</v>
      </c>
      <c r="D26" s="27">
        <v>0.4</v>
      </c>
      <c r="E26" s="44">
        <v>1.6</v>
      </c>
      <c r="G26" s="42" t="s">
        <v>228</v>
      </c>
      <c r="H26" s="12" t="s">
        <v>204</v>
      </c>
      <c r="I26" s="26">
        <v>0.8</v>
      </c>
      <c r="J26" s="27">
        <v>0.5</v>
      </c>
      <c r="K26" s="44"/>
    </row>
    <row r="27" customHeight="1" spans="1:11">
      <c r="A27" s="42" t="s">
        <v>229</v>
      </c>
      <c r="B27" s="12" t="s">
        <v>204</v>
      </c>
      <c r="C27" s="26">
        <v>1</v>
      </c>
      <c r="D27" s="27">
        <v>1</v>
      </c>
      <c r="E27" s="49" t="s">
        <v>230</v>
      </c>
      <c r="G27" s="42" t="s">
        <v>231</v>
      </c>
      <c r="H27" s="12" t="s">
        <v>204</v>
      </c>
      <c r="I27" s="26">
        <v>0.6</v>
      </c>
      <c r="J27" s="27">
        <v>0.6</v>
      </c>
      <c r="K27" s="44"/>
    </row>
    <row r="28" customHeight="1" spans="1:11">
      <c r="A28" s="42" t="s">
        <v>231</v>
      </c>
      <c r="B28" s="12" t="s">
        <v>204</v>
      </c>
      <c r="C28" s="26">
        <v>0.6</v>
      </c>
      <c r="D28" s="27">
        <v>0.6</v>
      </c>
      <c r="E28" s="44"/>
      <c r="G28" s="42" t="s">
        <v>232</v>
      </c>
      <c r="H28" s="12" t="s">
        <v>204</v>
      </c>
      <c r="I28" s="26">
        <v>0.2</v>
      </c>
      <c r="J28" s="27">
        <v>0.2</v>
      </c>
      <c r="K28" s="44"/>
    </row>
    <row r="29" customHeight="1" spans="1:11">
      <c r="A29" s="42" t="s">
        <v>232</v>
      </c>
      <c r="B29" s="12" t="s">
        <v>204</v>
      </c>
      <c r="C29" s="26">
        <v>0.3</v>
      </c>
      <c r="D29" s="27">
        <v>0.08</v>
      </c>
      <c r="E29" s="44"/>
      <c r="G29" s="42" t="s">
        <v>233</v>
      </c>
      <c r="H29" s="12" t="s">
        <v>204</v>
      </c>
      <c r="I29" s="26">
        <v>0.3</v>
      </c>
      <c r="J29" s="27">
        <v>0.3</v>
      </c>
      <c r="K29" s="44"/>
    </row>
    <row r="30" customHeight="1" spans="1:11">
      <c r="A30" s="42" t="s">
        <v>233</v>
      </c>
      <c r="B30" s="12" t="s">
        <v>204</v>
      </c>
      <c r="C30" s="26">
        <v>0.45</v>
      </c>
      <c r="D30" s="27">
        <v>0.12</v>
      </c>
      <c r="E30" s="44"/>
      <c r="G30" s="42" t="s">
        <v>234</v>
      </c>
      <c r="H30" s="12" t="s">
        <v>204</v>
      </c>
      <c r="I30" s="26">
        <v>0.08</v>
      </c>
      <c r="J30" s="27">
        <v>0.04</v>
      </c>
      <c r="K30" s="44"/>
    </row>
    <row r="31" customHeight="1" spans="1:11">
      <c r="A31" s="42" t="s">
        <v>234</v>
      </c>
      <c r="B31" s="12" t="s">
        <v>204</v>
      </c>
      <c r="C31" s="26">
        <v>0.06</v>
      </c>
      <c r="D31" s="27">
        <v>0.06</v>
      </c>
      <c r="E31" s="44"/>
      <c r="G31" s="42" t="s">
        <v>235</v>
      </c>
      <c r="H31" s="12" t="s">
        <v>236</v>
      </c>
      <c r="I31" s="26">
        <v>80</v>
      </c>
      <c r="J31" s="27">
        <v>80</v>
      </c>
      <c r="K31" s="44"/>
    </row>
    <row r="32" customHeight="1" spans="1:11">
      <c r="A32" s="42" t="s">
        <v>235</v>
      </c>
      <c r="B32" s="12" t="s">
        <v>236</v>
      </c>
      <c r="C32" s="26">
        <v>88</v>
      </c>
      <c r="D32" s="27">
        <v>40</v>
      </c>
      <c r="E32" s="44"/>
      <c r="G32" s="42" t="s">
        <v>237</v>
      </c>
      <c r="H32" s="12" t="s">
        <v>236</v>
      </c>
      <c r="I32" s="26">
        <v>8.4</v>
      </c>
      <c r="J32" s="27">
        <v>5</v>
      </c>
      <c r="K32" s="44"/>
    </row>
    <row r="33" customHeight="1" spans="1:11">
      <c r="A33" s="42" t="s">
        <v>237</v>
      </c>
      <c r="B33" s="12" t="s">
        <v>236</v>
      </c>
      <c r="C33" s="26">
        <v>12.4</v>
      </c>
      <c r="D33" s="27">
        <v>7.3</v>
      </c>
      <c r="E33" s="44"/>
      <c r="G33" s="42" t="s">
        <v>238</v>
      </c>
      <c r="H33" s="12" t="s">
        <v>236</v>
      </c>
      <c r="I33" s="26">
        <v>7.6</v>
      </c>
      <c r="J33" s="27">
        <v>7.6</v>
      </c>
      <c r="K33" s="44"/>
    </row>
    <row r="34" customHeight="1" spans="1:11">
      <c r="A34" s="42" t="s">
        <v>238</v>
      </c>
      <c r="B34" s="12" t="s">
        <v>236</v>
      </c>
      <c r="C34" s="26">
        <v>7.2</v>
      </c>
      <c r="D34" s="27">
        <v>5</v>
      </c>
      <c r="E34" s="44"/>
      <c r="G34" s="42" t="s">
        <v>239</v>
      </c>
      <c r="H34" s="12" t="s">
        <v>236</v>
      </c>
      <c r="I34" s="26">
        <v>75</v>
      </c>
      <c r="J34" s="27">
        <v>75</v>
      </c>
      <c r="K34" s="44"/>
    </row>
    <row r="35" customHeight="1" spans="1:11">
      <c r="A35" s="42" t="s">
        <v>239</v>
      </c>
      <c r="B35" s="12" t="s">
        <v>236</v>
      </c>
      <c r="C35" s="26">
        <v>100</v>
      </c>
      <c r="D35" s="27">
        <v>80</v>
      </c>
      <c r="E35" s="44"/>
      <c r="G35" s="42" t="s">
        <v>240</v>
      </c>
      <c r="H35" s="12" t="s">
        <v>236</v>
      </c>
      <c r="I35" s="26">
        <v>1.8</v>
      </c>
      <c r="J35" s="27">
        <v>0.6</v>
      </c>
      <c r="K35" s="44">
        <v>9</v>
      </c>
    </row>
    <row r="36" customHeight="1" spans="1:11">
      <c r="A36" s="42" t="s">
        <v>240</v>
      </c>
      <c r="B36" s="12" t="s">
        <v>236</v>
      </c>
      <c r="C36" s="26">
        <v>1</v>
      </c>
      <c r="D36" s="27">
        <v>1</v>
      </c>
      <c r="E36" s="44">
        <v>11</v>
      </c>
      <c r="G36" s="42" t="s">
        <v>241</v>
      </c>
      <c r="H36" s="12" t="s">
        <v>236</v>
      </c>
      <c r="I36" s="26">
        <v>0.3</v>
      </c>
      <c r="J36" s="27">
        <v>0.3</v>
      </c>
      <c r="K36" s="44"/>
    </row>
    <row r="37" customHeight="1" spans="1:11">
      <c r="A37" s="50" t="s">
        <v>241</v>
      </c>
      <c r="B37" s="14" t="s">
        <v>236</v>
      </c>
      <c r="C37" s="30">
        <v>0.35</v>
      </c>
      <c r="D37" s="31">
        <v>0.35</v>
      </c>
      <c r="E37" s="45">
        <v>2</v>
      </c>
      <c r="G37" s="48"/>
      <c r="H37" s="14"/>
      <c r="I37" s="30"/>
      <c r="J37" s="31"/>
      <c r="K37" s="45"/>
    </row>
    <row r="39" customHeight="1" spans="1:11">
      <c r="A39" s="51" t="s">
        <v>242</v>
      </c>
      <c r="B39" s="39"/>
      <c r="C39" s="40"/>
      <c r="D39" s="41"/>
      <c r="E39" s="46"/>
      <c r="G39" s="54" t="s">
        <v>242</v>
      </c>
      <c r="H39" s="55"/>
      <c r="I39" s="56"/>
      <c r="J39" s="57"/>
      <c r="K39" s="43"/>
    </row>
    <row r="40" customHeight="1" spans="1:11">
      <c r="A40" s="52" t="s">
        <v>243</v>
      </c>
      <c r="B40" s="12" t="s">
        <v>244</v>
      </c>
      <c r="C40" s="26">
        <v>5000</v>
      </c>
      <c r="D40" s="27">
        <v>5000</v>
      </c>
      <c r="E40" s="44">
        <v>250000</v>
      </c>
      <c r="G40" s="52" t="s">
        <v>243</v>
      </c>
      <c r="H40" s="12" t="s">
        <v>244</v>
      </c>
      <c r="I40" s="26">
        <v>6668</v>
      </c>
      <c r="J40" s="27">
        <v>3332</v>
      </c>
      <c r="K40" s="44">
        <v>333300</v>
      </c>
    </row>
    <row r="41" customHeight="1" spans="1:11">
      <c r="A41" s="52" t="s">
        <v>245</v>
      </c>
      <c r="B41" s="12" t="s">
        <v>244</v>
      </c>
      <c r="C41" s="26">
        <v>500</v>
      </c>
      <c r="D41" s="27">
        <v>500</v>
      </c>
      <c r="E41" s="44">
        <v>3000</v>
      </c>
      <c r="G41" s="52" t="s">
        <v>245</v>
      </c>
      <c r="H41" s="12" t="s">
        <v>244</v>
      </c>
      <c r="I41" s="26">
        <v>280</v>
      </c>
      <c r="J41" s="27">
        <v>280</v>
      </c>
      <c r="K41" s="44">
        <v>30080</v>
      </c>
    </row>
    <row r="42" customHeight="1" spans="1:11">
      <c r="A42" s="52" t="s">
        <v>246</v>
      </c>
      <c r="B42" s="12" t="s">
        <v>244</v>
      </c>
      <c r="C42" s="26">
        <v>50</v>
      </c>
      <c r="D42" s="27">
        <v>50</v>
      </c>
      <c r="E42" s="44"/>
      <c r="G42" s="52" t="s">
        <v>246</v>
      </c>
      <c r="H42" s="12" t="s">
        <v>244</v>
      </c>
      <c r="I42" s="26">
        <v>40</v>
      </c>
      <c r="J42" s="27">
        <v>40</v>
      </c>
      <c r="K42" s="44"/>
    </row>
    <row r="43" customHeight="1" spans="1:11">
      <c r="A43" s="52" t="s">
        <v>247</v>
      </c>
      <c r="B43" s="12" t="s">
        <v>236</v>
      </c>
      <c r="C43" s="26">
        <v>2.25</v>
      </c>
      <c r="D43" s="27">
        <v>2.25</v>
      </c>
      <c r="E43" s="44"/>
      <c r="G43" s="52" t="s">
        <v>248</v>
      </c>
      <c r="H43" s="12" t="s">
        <v>236</v>
      </c>
      <c r="I43" s="26">
        <v>0.1</v>
      </c>
      <c r="J43" s="27">
        <v>0.1</v>
      </c>
      <c r="K43" s="44"/>
    </row>
    <row r="44" customHeight="1" spans="1:11">
      <c r="A44" s="52" t="s">
        <v>249</v>
      </c>
      <c r="B44" s="12" t="s">
        <v>236</v>
      </c>
      <c r="C44" s="26">
        <v>5.2</v>
      </c>
      <c r="D44" s="27">
        <v>5.2</v>
      </c>
      <c r="E44" s="44"/>
      <c r="G44" s="52" t="s">
        <v>250</v>
      </c>
      <c r="H44" s="12" t="s">
        <v>236</v>
      </c>
      <c r="I44" s="26">
        <v>5.6</v>
      </c>
      <c r="J44" s="27">
        <v>5.6</v>
      </c>
      <c r="K44" s="44"/>
    </row>
    <row r="45" customHeight="1" spans="1:11">
      <c r="A45" s="52" t="s">
        <v>251</v>
      </c>
      <c r="B45" s="12" t="s">
        <v>236</v>
      </c>
      <c r="C45" s="26">
        <v>12</v>
      </c>
      <c r="D45" s="27">
        <v>12</v>
      </c>
      <c r="E45" s="44"/>
      <c r="G45" s="52" t="s">
        <v>252</v>
      </c>
      <c r="H45" s="12" t="s">
        <v>236</v>
      </c>
      <c r="I45" s="26">
        <v>4</v>
      </c>
      <c r="J45" s="27">
        <v>4</v>
      </c>
      <c r="K45" s="44"/>
    </row>
    <row r="46" customHeight="1" spans="1:11">
      <c r="A46" s="52" t="s">
        <v>253</v>
      </c>
      <c r="B46" s="12" t="s">
        <v>236</v>
      </c>
      <c r="C46" s="26">
        <v>13.6</v>
      </c>
      <c r="D46" s="27">
        <v>13.6</v>
      </c>
      <c r="E46" s="44"/>
      <c r="G46" s="52" t="s">
        <v>254</v>
      </c>
      <c r="H46" s="12" t="s">
        <v>236</v>
      </c>
      <c r="I46" s="26">
        <v>5.75</v>
      </c>
      <c r="J46" s="27">
        <v>5.75</v>
      </c>
      <c r="K46" s="44"/>
    </row>
    <row r="47" customHeight="1" spans="1:11">
      <c r="A47" s="52" t="s">
        <v>255</v>
      </c>
      <c r="B47" s="12" t="s">
        <v>236</v>
      </c>
      <c r="C47" s="26">
        <v>1.5</v>
      </c>
      <c r="D47" s="27">
        <v>1.5</v>
      </c>
      <c r="E47" s="44"/>
      <c r="G47" s="52" t="s">
        <v>253</v>
      </c>
      <c r="H47" s="12" t="s">
        <v>236</v>
      </c>
      <c r="I47" s="26">
        <v>60</v>
      </c>
      <c r="J47" s="27">
        <v>60</v>
      </c>
      <c r="K47" s="44"/>
    </row>
    <row r="48" customHeight="1" spans="1:11">
      <c r="A48" s="52" t="s">
        <v>256</v>
      </c>
      <c r="B48" s="12" t="s">
        <v>236</v>
      </c>
      <c r="C48" s="26">
        <v>0.216</v>
      </c>
      <c r="D48" s="27">
        <v>0.216</v>
      </c>
      <c r="E48" s="44"/>
      <c r="G48" s="52" t="s">
        <v>255</v>
      </c>
      <c r="H48" s="12" t="s">
        <v>236</v>
      </c>
      <c r="I48" s="26">
        <v>4</v>
      </c>
      <c r="J48" s="27">
        <v>4</v>
      </c>
      <c r="K48" s="44"/>
    </row>
    <row r="49" customHeight="1" spans="1:11">
      <c r="A49" s="52" t="s">
        <v>257</v>
      </c>
      <c r="B49" s="12" t="s">
        <v>236</v>
      </c>
      <c r="C49" s="26">
        <v>0.028</v>
      </c>
      <c r="D49" s="27">
        <v>0.028</v>
      </c>
      <c r="E49" s="44"/>
      <c r="G49" s="52" t="s">
        <v>256</v>
      </c>
      <c r="H49" s="12" t="s">
        <v>236</v>
      </c>
      <c r="I49" s="26">
        <v>0.8</v>
      </c>
      <c r="J49" s="27">
        <v>0.8</v>
      </c>
      <c r="K49" s="44"/>
    </row>
    <row r="50" customHeight="1" spans="1:11">
      <c r="A50" s="53" t="s">
        <v>258</v>
      </c>
      <c r="B50" s="14" t="s">
        <v>236</v>
      </c>
      <c r="C50" s="30">
        <v>1360</v>
      </c>
      <c r="D50" s="31">
        <v>1360</v>
      </c>
      <c r="E50" s="45"/>
      <c r="G50" s="52" t="s">
        <v>259</v>
      </c>
      <c r="H50" s="12" t="s">
        <v>236</v>
      </c>
      <c r="I50" s="26">
        <v>0.07</v>
      </c>
      <c r="J50" s="27">
        <v>0.07</v>
      </c>
      <c r="K50" s="44"/>
    </row>
    <row r="51" customHeight="1" spans="7:11">
      <c r="G51" s="52" t="s">
        <v>257</v>
      </c>
      <c r="H51" s="12" t="s">
        <v>236</v>
      </c>
      <c r="I51" s="26">
        <v>0.02</v>
      </c>
      <c r="J51" s="27">
        <v>0.02</v>
      </c>
      <c r="K51" s="44"/>
    </row>
    <row r="52" customHeight="1" spans="7:11">
      <c r="G52" s="52" t="s">
        <v>258</v>
      </c>
      <c r="H52" s="12" t="s">
        <v>236</v>
      </c>
      <c r="I52" s="26">
        <v>2400</v>
      </c>
      <c r="J52" s="27">
        <v>2400</v>
      </c>
      <c r="K52" s="44"/>
    </row>
    <row r="53" customHeight="1" spans="7:11">
      <c r="G53" s="53" t="s">
        <v>260</v>
      </c>
      <c r="H53" s="14" t="s">
        <v>204</v>
      </c>
      <c r="I53" s="30">
        <v>0.2</v>
      </c>
      <c r="J53" s="31">
        <v>0.2</v>
      </c>
      <c r="K53" s="45"/>
    </row>
  </sheetData>
  <sheetProtection password="C7E5" sheet="1" objects="1"/>
  <mergeCells count="2">
    <mergeCell ref="A1:E1"/>
    <mergeCell ref="G1:K1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showGridLines="0" zoomScale="80" zoomScaleNormal="80" workbookViewId="0">
      <selection activeCell="F19" sqref="F19"/>
    </sheetView>
  </sheetViews>
  <sheetFormatPr defaultColWidth="9.64166666666667" defaultRowHeight="20" customHeight="1" outlineLevelCol="6"/>
  <cols>
    <col min="1" max="1" width="25" customWidth="1"/>
    <col min="2" max="3" width="15.625" style="1" customWidth="1"/>
    <col min="4" max="4" width="3.5" customWidth="1"/>
    <col min="5" max="5" width="25" customWidth="1"/>
    <col min="6" max="6" width="15.625" style="1" customWidth="1"/>
    <col min="7" max="7" width="15.625" style="2" customWidth="1"/>
  </cols>
  <sheetData>
    <row r="1" ht="34" customHeight="1" spans="1:7">
      <c r="A1" s="3" t="s">
        <v>261</v>
      </c>
      <c r="B1" s="3"/>
      <c r="C1" s="4"/>
      <c r="D1" s="5"/>
      <c r="E1" s="3" t="s">
        <v>262</v>
      </c>
      <c r="F1" s="3"/>
      <c r="G1" s="17"/>
    </row>
    <row r="2" customHeight="1" spans="1:7">
      <c r="A2" s="6" t="s">
        <v>1</v>
      </c>
      <c r="B2" s="7" t="s">
        <v>263</v>
      </c>
      <c r="C2" s="8" t="s">
        <v>264</v>
      </c>
      <c r="D2" s="5"/>
      <c r="E2" s="6" t="s">
        <v>1</v>
      </c>
      <c r="F2" s="7" t="s">
        <v>265</v>
      </c>
      <c r="G2" s="18" t="s">
        <v>266</v>
      </c>
    </row>
    <row r="3" customHeight="1" spans="1:7">
      <c r="A3" s="9" t="s">
        <v>267</v>
      </c>
      <c r="B3" s="10" t="s">
        <v>268</v>
      </c>
      <c r="C3" s="11">
        <v>2.9</v>
      </c>
      <c r="D3" s="5"/>
      <c r="E3" s="9" t="s">
        <v>269</v>
      </c>
      <c r="F3" s="10" t="s">
        <v>270</v>
      </c>
      <c r="G3" s="19">
        <v>0.095</v>
      </c>
    </row>
    <row r="4" customHeight="1" spans="1:7">
      <c r="A4" s="9" t="s">
        <v>271</v>
      </c>
      <c r="B4" s="10" t="s">
        <v>272</v>
      </c>
      <c r="C4" s="11">
        <v>2.7</v>
      </c>
      <c r="D4" s="5"/>
      <c r="E4" s="9" t="s">
        <v>273</v>
      </c>
      <c r="F4" s="10" t="s">
        <v>274</v>
      </c>
      <c r="G4" s="19">
        <v>0.075</v>
      </c>
    </row>
    <row r="5" customHeight="1" spans="1:7">
      <c r="A5" s="9" t="s">
        <v>275</v>
      </c>
      <c r="B5" s="10" t="s">
        <v>276</v>
      </c>
      <c r="C5" s="11">
        <v>2.5</v>
      </c>
      <c r="D5" s="5"/>
      <c r="E5" s="9" t="s">
        <v>277</v>
      </c>
      <c r="F5" s="10" t="s">
        <v>278</v>
      </c>
      <c r="G5" s="19">
        <v>0.065</v>
      </c>
    </row>
    <row r="6" customHeight="1" spans="1:7">
      <c r="A6" s="9" t="s">
        <v>279</v>
      </c>
      <c r="B6" s="10" t="s">
        <v>280</v>
      </c>
      <c r="C6" s="11">
        <v>2.3</v>
      </c>
      <c r="D6" s="5"/>
      <c r="E6" s="9" t="s">
        <v>281</v>
      </c>
      <c r="F6" s="10" t="s">
        <v>282</v>
      </c>
      <c r="G6" s="19">
        <v>0.055</v>
      </c>
    </row>
    <row r="7" customHeight="1" spans="1:7">
      <c r="A7" s="9" t="s">
        <v>283</v>
      </c>
      <c r="B7" s="10" t="s">
        <v>284</v>
      </c>
      <c r="C7" s="11">
        <v>2.1</v>
      </c>
      <c r="D7" s="5"/>
      <c r="E7" s="9" t="s">
        <v>285</v>
      </c>
      <c r="F7" s="10" t="s">
        <v>286</v>
      </c>
      <c r="G7" s="19">
        <v>0.045</v>
      </c>
    </row>
    <row r="8" customHeight="1" spans="1:7">
      <c r="A8" s="9" t="s">
        <v>287</v>
      </c>
      <c r="B8" s="10" t="s">
        <v>288</v>
      </c>
      <c r="C8" s="11">
        <v>1.9</v>
      </c>
      <c r="D8" s="5"/>
      <c r="E8" s="9" t="s">
        <v>289</v>
      </c>
      <c r="F8" s="10" t="s">
        <v>290</v>
      </c>
      <c r="G8" s="19">
        <v>0.0375</v>
      </c>
    </row>
    <row r="9" customHeight="1" spans="1:7">
      <c r="A9" s="9" t="s">
        <v>291</v>
      </c>
      <c r="B9" s="10" t="s">
        <v>292</v>
      </c>
      <c r="C9" s="11">
        <v>1.7</v>
      </c>
      <c r="D9" s="5"/>
      <c r="E9" s="9" t="s">
        <v>5</v>
      </c>
      <c r="F9" s="10" t="s">
        <v>293</v>
      </c>
      <c r="G9" s="19">
        <v>0.03</v>
      </c>
    </row>
    <row r="10" customHeight="1" spans="1:7">
      <c r="A10" s="9" t="s">
        <v>294</v>
      </c>
      <c r="B10" s="10" t="s">
        <v>295</v>
      </c>
      <c r="C10" s="11">
        <v>1.8</v>
      </c>
      <c r="D10" s="5"/>
      <c r="E10" s="9" t="s">
        <v>296</v>
      </c>
      <c r="F10" s="10" t="s">
        <v>297</v>
      </c>
      <c r="G10" s="19">
        <v>0.0225</v>
      </c>
    </row>
    <row r="11" customHeight="1" spans="1:7">
      <c r="A11" s="9" t="s">
        <v>4</v>
      </c>
      <c r="B11" s="10" t="s">
        <v>298</v>
      </c>
      <c r="C11" s="11">
        <v>1.3</v>
      </c>
      <c r="D11" s="5"/>
      <c r="E11" s="9"/>
      <c r="F11" s="10"/>
      <c r="G11" s="19"/>
    </row>
    <row r="12" customHeight="1" spans="1:7">
      <c r="A12" s="9" t="s">
        <v>299</v>
      </c>
      <c r="B12" s="12" t="s">
        <v>300</v>
      </c>
      <c r="C12" s="11">
        <v>1.5</v>
      </c>
      <c r="D12" s="5"/>
      <c r="E12" s="9"/>
      <c r="F12" s="12"/>
      <c r="G12" s="19"/>
    </row>
    <row r="13" customHeight="1" spans="1:7">
      <c r="A13" s="13" t="s">
        <v>301</v>
      </c>
      <c r="B13" s="14" t="s">
        <v>302</v>
      </c>
      <c r="C13" s="15">
        <v>1.1</v>
      </c>
      <c r="D13" s="5"/>
      <c r="E13" s="13"/>
      <c r="F13" s="14"/>
      <c r="G13" s="20"/>
    </row>
    <row r="14" customHeight="1" spans="1:7">
      <c r="A14" s="5"/>
      <c r="B14" s="16"/>
      <c r="C14" s="16"/>
      <c r="D14" s="5"/>
      <c r="E14" s="5"/>
      <c r="F14" s="16"/>
      <c r="G14" s="21"/>
    </row>
    <row r="15" customHeight="1" spans="1:7">
      <c r="A15" s="5"/>
      <c r="B15" s="16"/>
      <c r="C15" s="16"/>
      <c r="D15" s="5"/>
      <c r="E15" s="5"/>
      <c r="F15" s="16"/>
      <c r="G15" s="21"/>
    </row>
    <row r="16" customHeight="1" spans="1:7">
      <c r="A16" s="5"/>
      <c r="B16" s="16"/>
      <c r="C16" s="16"/>
      <c r="D16" s="5"/>
      <c r="E16" s="5"/>
      <c r="F16" s="16"/>
      <c r="G16" s="21"/>
    </row>
    <row r="17" customHeight="1" spans="1:7">
      <c r="A17" s="5"/>
      <c r="B17" s="16"/>
      <c r="C17" s="16"/>
      <c r="D17" s="5"/>
      <c r="E17" s="5"/>
      <c r="F17" s="16"/>
      <c r="G17" s="21"/>
    </row>
  </sheetData>
  <sheetProtection password="C7E5" sheet="1" objects="1"/>
  <mergeCells count="2">
    <mergeCell ref="A1:C1"/>
    <mergeCell ref="E1:G1"/>
  </mergeCells>
  <pageMargins left="0.699305555555556" right="0.699305555555556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WWO_wpscloud_20240620175157-2f259bf60d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计算器</vt:lpstr>
      <vt:lpstr>营养需求</vt:lpstr>
      <vt:lpstr>宠物情况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wangpeng</dc:creator>
  <cp:lastModifiedBy>iPhone</cp:lastModifiedBy>
  <dcterms:created xsi:type="dcterms:W3CDTF">2023-05-13T11:15:00Z</dcterms:created>
  <dcterms:modified xsi:type="dcterms:W3CDTF">2024-06-15T08:48:00Z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50007481B01D4313BADE13DEA50D5F20_12</vt:lpwstr>
  </property>
</Properties>
</file>